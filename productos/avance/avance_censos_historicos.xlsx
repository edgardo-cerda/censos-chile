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scerdae\proyectos\censos-chile\productos\avance\"/>
    </mc:Choice>
  </mc:AlternateContent>
  <bookViews>
    <workbookView xWindow="0" yWindow="0" windowWidth="28800" windowHeight="14145"/>
  </bookViews>
  <sheets>
    <sheet name="Resumen" sheetId="1" r:id="rId1"/>
    <sheet name="Cifras" sheetId="2" r:id="rId2"/>
    <sheet name="Catálogo" sheetId="3" r:id="rId3"/>
    <sheet name="Niveles" sheetId="4" r:id="rId4"/>
    <sheet name="Cuadros transcritos" sheetId="5" r:id="rId5"/>
    <sheet name="Notas" sheetId="6" r:id="rId6"/>
  </sheets>
  <definedNames>
    <definedName name="_xlnm._FilterDatabase" localSheetId="2" hidden="1">Catálogo!$A$1:$Q$648</definedName>
    <definedName name="_xlnm._FilterDatabase" localSheetId="1" hidden="1">Cifras!$A$1:$J$399</definedName>
    <definedName name="_xlnm._FilterDatabase" localSheetId="4" hidden="1">'Cuadros transcritos'!$A$1:$N$44</definedName>
  </definedNames>
  <calcPr calcId="162913"/>
</workbook>
</file>

<file path=xl/calcChain.xml><?xml version="1.0" encoding="utf-8"?>
<calcChain xmlns="http://schemas.openxmlformats.org/spreadsheetml/2006/main">
  <c r="K45" i="5" l="1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4" i="5"/>
  <c r="L4" i="5"/>
  <c r="M3" i="5"/>
  <c r="L3" i="5"/>
  <c r="M2" i="5"/>
  <c r="L2" i="5"/>
  <c r="Q648" i="3"/>
  <c r="Q647" i="3"/>
  <c r="Q646" i="3"/>
  <c r="Q645" i="3"/>
  <c r="Q644" i="3"/>
  <c r="Q643" i="3"/>
  <c r="Q642" i="3"/>
  <c r="Q641" i="3"/>
  <c r="Q640" i="3"/>
  <c r="Q639" i="3"/>
  <c r="Q638" i="3"/>
  <c r="Q637" i="3"/>
  <c r="Q636" i="3"/>
  <c r="Q635" i="3"/>
  <c r="Q634" i="3"/>
  <c r="Q633" i="3"/>
  <c r="Q632" i="3"/>
  <c r="Q631" i="3"/>
  <c r="Q630" i="3"/>
  <c r="Q629" i="3"/>
  <c r="Q628" i="3"/>
  <c r="Q627" i="3"/>
  <c r="Q626" i="3"/>
  <c r="Q625" i="3"/>
  <c r="Q624" i="3"/>
  <c r="Q623" i="3"/>
  <c r="Q622" i="3"/>
  <c r="Q621" i="3"/>
  <c r="Q620" i="3"/>
  <c r="Q619" i="3"/>
  <c r="Q618" i="3"/>
  <c r="Q617" i="3"/>
  <c r="Q616" i="3"/>
  <c r="Q615" i="3"/>
  <c r="Q614" i="3"/>
  <c r="Q613" i="3"/>
  <c r="Q612" i="3"/>
  <c r="Q611" i="3"/>
  <c r="Q610" i="3"/>
  <c r="Q609" i="3"/>
  <c r="Q608" i="3"/>
  <c r="Q607" i="3"/>
  <c r="Q606" i="3"/>
  <c r="Q605" i="3"/>
  <c r="Q604" i="3"/>
  <c r="Q603" i="3"/>
  <c r="Q602" i="3"/>
  <c r="Q601" i="3"/>
  <c r="Q600" i="3"/>
  <c r="Q599" i="3"/>
  <c r="Q598" i="3"/>
  <c r="Q597" i="3"/>
  <c r="Q596" i="3"/>
  <c r="Q595" i="3"/>
  <c r="Q594" i="3"/>
  <c r="Q593" i="3"/>
  <c r="Q592" i="3"/>
  <c r="Q591" i="3"/>
  <c r="Q590" i="3"/>
  <c r="Q589" i="3"/>
  <c r="Q588" i="3"/>
  <c r="Q587" i="3"/>
  <c r="Q586" i="3"/>
  <c r="Q585" i="3"/>
  <c r="Q584" i="3"/>
  <c r="Q583" i="3"/>
  <c r="Q582" i="3"/>
  <c r="Q581" i="3"/>
  <c r="Q580" i="3"/>
  <c r="Q579" i="3"/>
  <c r="Q578" i="3"/>
  <c r="Q577" i="3"/>
  <c r="Q576" i="3"/>
  <c r="Q575" i="3"/>
  <c r="Q574" i="3"/>
  <c r="Q573" i="3"/>
  <c r="Q572" i="3"/>
  <c r="Q571" i="3"/>
  <c r="Q570" i="3"/>
  <c r="Q569" i="3"/>
  <c r="Q568" i="3"/>
  <c r="Q567" i="3"/>
  <c r="Q566" i="3"/>
  <c r="Q565" i="3"/>
  <c r="Q564" i="3"/>
  <c r="Q563" i="3"/>
  <c r="Q562" i="3"/>
  <c r="Q561" i="3"/>
  <c r="Q560" i="3"/>
  <c r="Q559" i="3"/>
  <c r="Q558" i="3"/>
  <c r="Q557" i="3"/>
  <c r="Q556" i="3"/>
  <c r="Q555" i="3"/>
  <c r="Q554" i="3"/>
  <c r="Q553" i="3"/>
  <c r="Q552" i="3"/>
  <c r="Q551" i="3"/>
  <c r="Q550" i="3"/>
  <c r="Q549" i="3"/>
  <c r="Q548" i="3"/>
  <c r="Q547" i="3"/>
  <c r="Q546" i="3"/>
  <c r="Q545" i="3"/>
  <c r="Q544" i="3"/>
  <c r="Q543" i="3"/>
  <c r="Q542" i="3"/>
  <c r="Q541" i="3"/>
  <c r="Q540" i="3"/>
  <c r="Q539" i="3"/>
  <c r="Q538" i="3"/>
  <c r="Q537" i="3"/>
  <c r="Q536" i="3"/>
  <c r="Q535" i="3"/>
  <c r="Q534" i="3"/>
  <c r="Q533" i="3"/>
  <c r="Q532" i="3"/>
  <c r="Q531" i="3"/>
  <c r="Q530" i="3"/>
  <c r="Q529" i="3"/>
  <c r="N19" i="1" s="1"/>
  <c r="Q528" i="3"/>
  <c r="Q527" i="3"/>
  <c r="Q526" i="3"/>
  <c r="Q525" i="3"/>
  <c r="Q524" i="3"/>
  <c r="Q523" i="3"/>
  <c r="Q522" i="3"/>
  <c r="Q521" i="3"/>
  <c r="Q520" i="3"/>
  <c r="Q519" i="3"/>
  <c r="Q518" i="3"/>
  <c r="Q517" i="3"/>
  <c r="Q516" i="3"/>
  <c r="Q515" i="3"/>
  <c r="Q514" i="3"/>
  <c r="Q513" i="3"/>
  <c r="Q512" i="3"/>
  <c r="Q511" i="3"/>
  <c r="Q510" i="3"/>
  <c r="Q509" i="3"/>
  <c r="Q508" i="3"/>
  <c r="Q507" i="3"/>
  <c r="Q506" i="3"/>
  <c r="Q505" i="3"/>
  <c r="Q504" i="3"/>
  <c r="Q503" i="3"/>
  <c r="Q502" i="3"/>
  <c r="Q501" i="3"/>
  <c r="Q500" i="3"/>
  <c r="Q499" i="3"/>
  <c r="Q498" i="3"/>
  <c r="Q497" i="3"/>
  <c r="Q496" i="3"/>
  <c r="Q495" i="3"/>
  <c r="Q494" i="3"/>
  <c r="Q493" i="3"/>
  <c r="Q492" i="3"/>
  <c r="Q491" i="3"/>
  <c r="Q490" i="3"/>
  <c r="Q489" i="3"/>
  <c r="Q488" i="3"/>
  <c r="Q487" i="3"/>
  <c r="Q486" i="3"/>
  <c r="Q485" i="3"/>
  <c r="Q484" i="3"/>
  <c r="Q483" i="3"/>
  <c r="Q482" i="3"/>
  <c r="Q481" i="3"/>
  <c r="Q480" i="3"/>
  <c r="Q479" i="3"/>
  <c r="Q478" i="3"/>
  <c r="Q477" i="3"/>
  <c r="Q476" i="3"/>
  <c r="Q475" i="3"/>
  <c r="Q474" i="3"/>
  <c r="Q473" i="3"/>
  <c r="Q472" i="3"/>
  <c r="Q471" i="3"/>
  <c r="Q470" i="3"/>
  <c r="Q469" i="3"/>
  <c r="Q468" i="3"/>
  <c r="Q467" i="3"/>
  <c r="Q466" i="3"/>
  <c r="Q465" i="3"/>
  <c r="Q464" i="3"/>
  <c r="Q463" i="3"/>
  <c r="Q462" i="3"/>
  <c r="Q461" i="3"/>
  <c r="Q460" i="3"/>
  <c r="Q459" i="3"/>
  <c r="Q458" i="3"/>
  <c r="Q457" i="3"/>
  <c r="Q456" i="3"/>
  <c r="Q455" i="3"/>
  <c r="Q454" i="3"/>
  <c r="Q453" i="3"/>
  <c r="Q452" i="3"/>
  <c r="Q451" i="3"/>
  <c r="Q450" i="3"/>
  <c r="Q449" i="3"/>
  <c r="Q448" i="3"/>
  <c r="Q447" i="3"/>
  <c r="Q446" i="3"/>
  <c r="Q445" i="3"/>
  <c r="Q444" i="3"/>
  <c r="Q443" i="3"/>
  <c r="Q442" i="3"/>
  <c r="Q441" i="3"/>
  <c r="Q440" i="3"/>
  <c r="Q439" i="3"/>
  <c r="Q438" i="3"/>
  <c r="Q437" i="3"/>
  <c r="Q436" i="3"/>
  <c r="Q435" i="3"/>
  <c r="Q434" i="3"/>
  <c r="Q433" i="3"/>
  <c r="Q432" i="3"/>
  <c r="Q431" i="3"/>
  <c r="Q430" i="3"/>
  <c r="Q429" i="3"/>
  <c r="Q428" i="3"/>
  <c r="Q427" i="3"/>
  <c r="Q426" i="3"/>
  <c r="Q425" i="3"/>
  <c r="Q424" i="3"/>
  <c r="Q423" i="3"/>
  <c r="Q422" i="3"/>
  <c r="Q421" i="3"/>
  <c r="Q420" i="3"/>
  <c r="Q419" i="3"/>
  <c r="Q418" i="3"/>
  <c r="Q417" i="3"/>
  <c r="Q416" i="3"/>
  <c r="Q415" i="3"/>
  <c r="Q414" i="3"/>
  <c r="Q413" i="3"/>
  <c r="Q412" i="3"/>
  <c r="Q411" i="3"/>
  <c r="Q410" i="3"/>
  <c r="Q409" i="3"/>
  <c r="Q408" i="3"/>
  <c r="Q407" i="3"/>
  <c r="Q406" i="3"/>
  <c r="Q405" i="3"/>
  <c r="Q404" i="3"/>
  <c r="Q403" i="3"/>
  <c r="Q402" i="3"/>
  <c r="Q401" i="3"/>
  <c r="Q400" i="3"/>
  <c r="Q399" i="3"/>
  <c r="Q398" i="3"/>
  <c r="Q397" i="3"/>
  <c r="Q396" i="3"/>
  <c r="Q395" i="3"/>
  <c r="Q394" i="3"/>
  <c r="Q393" i="3"/>
  <c r="Q392" i="3"/>
  <c r="Q391" i="3"/>
  <c r="Q390" i="3"/>
  <c r="Q389" i="3"/>
  <c r="Q388" i="3"/>
  <c r="Q387" i="3"/>
  <c r="Q386" i="3"/>
  <c r="Q385" i="3"/>
  <c r="Q384" i="3"/>
  <c r="Q383" i="3"/>
  <c r="Q382" i="3"/>
  <c r="Q381" i="3"/>
  <c r="Q380" i="3"/>
  <c r="Q379" i="3"/>
  <c r="Q378" i="3"/>
  <c r="Q377" i="3"/>
  <c r="Q376" i="3"/>
  <c r="Q375" i="3"/>
  <c r="Q374" i="3"/>
  <c r="Q373" i="3"/>
  <c r="Q372" i="3"/>
  <c r="Q371" i="3"/>
  <c r="Q370" i="3"/>
  <c r="Q369" i="3"/>
  <c r="Q368" i="3"/>
  <c r="Q367" i="3"/>
  <c r="Q366" i="3"/>
  <c r="Q365" i="3"/>
  <c r="Q364" i="3"/>
  <c r="Q363" i="3"/>
  <c r="Q362" i="3"/>
  <c r="Q361" i="3"/>
  <c r="Q360" i="3"/>
  <c r="Q359" i="3"/>
  <c r="Q358" i="3"/>
  <c r="Q357" i="3"/>
  <c r="Q356" i="3"/>
  <c r="Q355" i="3"/>
  <c r="Q354" i="3"/>
  <c r="Q353" i="3"/>
  <c r="Q352" i="3"/>
  <c r="Q351" i="3"/>
  <c r="Q350" i="3"/>
  <c r="Q349" i="3"/>
  <c r="Q348" i="3"/>
  <c r="Q347" i="3"/>
  <c r="Q346" i="3"/>
  <c r="Q345" i="3"/>
  <c r="Q344" i="3"/>
  <c r="Q343" i="3"/>
  <c r="Q342" i="3"/>
  <c r="Q341" i="3"/>
  <c r="Q340" i="3"/>
  <c r="Q339" i="3"/>
  <c r="Q338" i="3"/>
  <c r="Q337" i="3"/>
  <c r="Q336" i="3"/>
  <c r="Q335" i="3"/>
  <c r="Q334" i="3"/>
  <c r="Q333" i="3"/>
  <c r="Q332" i="3"/>
  <c r="Q331" i="3"/>
  <c r="Q330" i="3"/>
  <c r="Q329" i="3"/>
  <c r="Q328" i="3"/>
  <c r="Q327" i="3"/>
  <c r="Q326" i="3"/>
  <c r="Q325" i="3"/>
  <c r="Q324" i="3"/>
  <c r="Q323" i="3"/>
  <c r="Q322" i="3"/>
  <c r="Q321" i="3"/>
  <c r="Q320" i="3"/>
  <c r="Q319" i="3"/>
  <c r="Q318" i="3"/>
  <c r="Q317" i="3"/>
  <c r="Q316" i="3"/>
  <c r="Q315" i="3"/>
  <c r="Q314" i="3"/>
  <c r="Q313" i="3"/>
  <c r="Q312" i="3"/>
  <c r="Q311" i="3"/>
  <c r="Q310" i="3"/>
  <c r="Q309" i="3"/>
  <c r="Q308" i="3"/>
  <c r="Q307" i="3"/>
  <c r="P17" i="1" s="1"/>
  <c r="Q306" i="3"/>
  <c r="Q305" i="3"/>
  <c r="Q304" i="3"/>
  <c r="Q303" i="3"/>
  <c r="Q302" i="3"/>
  <c r="Q301" i="3"/>
  <c r="Q300" i="3"/>
  <c r="Q299" i="3"/>
  <c r="Q298" i="3"/>
  <c r="Q297" i="3"/>
  <c r="Q296" i="3"/>
  <c r="Q295" i="3"/>
  <c r="Q294" i="3"/>
  <c r="Q293" i="3"/>
  <c r="Q292" i="3"/>
  <c r="Q291" i="3"/>
  <c r="Q290" i="3"/>
  <c r="Q289" i="3"/>
  <c r="Q288" i="3"/>
  <c r="Q287" i="3"/>
  <c r="Q286" i="3"/>
  <c r="Q285" i="3"/>
  <c r="Q284" i="3"/>
  <c r="Q283" i="3"/>
  <c r="Q282" i="3"/>
  <c r="Q281" i="3"/>
  <c r="Q280" i="3"/>
  <c r="Q279" i="3"/>
  <c r="Q278" i="3"/>
  <c r="Q277" i="3"/>
  <c r="Q276" i="3"/>
  <c r="Q275" i="3"/>
  <c r="N16" i="1" s="1"/>
  <c r="Q274" i="3"/>
  <c r="Q273" i="3"/>
  <c r="Q272" i="3"/>
  <c r="Q271" i="3"/>
  <c r="Q270" i="3"/>
  <c r="Q269" i="3"/>
  <c r="Q268" i="3"/>
  <c r="Q267" i="3"/>
  <c r="Q266" i="3"/>
  <c r="Q265" i="3"/>
  <c r="Q264" i="3"/>
  <c r="Q263" i="3"/>
  <c r="Q262" i="3"/>
  <c r="Q261" i="3"/>
  <c r="Q260" i="3"/>
  <c r="Q259" i="3"/>
  <c r="N15" i="1" s="1"/>
  <c r="Q258" i="3"/>
  <c r="Q257" i="3"/>
  <c r="Q256" i="3"/>
  <c r="Q255" i="3"/>
  <c r="Q254" i="3"/>
  <c r="Q253" i="3"/>
  <c r="Q252" i="3"/>
  <c r="Q251" i="3"/>
  <c r="Q250" i="3"/>
  <c r="Q249" i="3"/>
  <c r="Q248" i="3"/>
  <c r="Q247" i="3"/>
  <c r="Q246" i="3"/>
  <c r="Q245" i="3"/>
  <c r="Q244" i="3"/>
  <c r="Q243" i="3"/>
  <c r="Q242" i="3"/>
  <c r="Q241" i="3"/>
  <c r="Q240" i="3"/>
  <c r="Q239" i="3"/>
  <c r="Q238" i="3"/>
  <c r="Q237" i="3"/>
  <c r="Q236" i="3"/>
  <c r="Q235" i="3"/>
  <c r="Q234" i="3"/>
  <c r="Q233" i="3"/>
  <c r="Q232" i="3"/>
  <c r="Q231" i="3"/>
  <c r="Q230" i="3"/>
  <c r="Q229" i="3"/>
  <c r="Q228" i="3"/>
  <c r="Q227" i="3"/>
  <c r="R14" i="1" s="1"/>
  <c r="Q226" i="3"/>
  <c r="Q225" i="3"/>
  <c r="Q224" i="3"/>
  <c r="Q223" i="3"/>
  <c r="Q222" i="3"/>
  <c r="Q221" i="3"/>
  <c r="Q220" i="3"/>
  <c r="Q219" i="3"/>
  <c r="Q218" i="3"/>
  <c r="Q217" i="3"/>
  <c r="Q216" i="3"/>
  <c r="Q215" i="3"/>
  <c r="Q214" i="3"/>
  <c r="Q213" i="3"/>
  <c r="Q212" i="3"/>
  <c r="Q211" i="3"/>
  <c r="Q210" i="3"/>
  <c r="Q209" i="3"/>
  <c r="Q208" i="3"/>
  <c r="Q207" i="3"/>
  <c r="Q206" i="3"/>
  <c r="Q205" i="3"/>
  <c r="Q204" i="3"/>
  <c r="Q203" i="3"/>
  <c r="Q202" i="3"/>
  <c r="Q201" i="3"/>
  <c r="Q200" i="3"/>
  <c r="Q199" i="3"/>
  <c r="Q198" i="3"/>
  <c r="Q197" i="3"/>
  <c r="Q196" i="3"/>
  <c r="Q195" i="3"/>
  <c r="Q194" i="3"/>
  <c r="Q193" i="3"/>
  <c r="Q192" i="3"/>
  <c r="Q191" i="3"/>
  <c r="Q190" i="3"/>
  <c r="Q189" i="3"/>
  <c r="Q188" i="3"/>
  <c r="Q187" i="3"/>
  <c r="Q186" i="3"/>
  <c r="Q185" i="3"/>
  <c r="Q184" i="3"/>
  <c r="Q183" i="3"/>
  <c r="Q182" i="3"/>
  <c r="Q181" i="3"/>
  <c r="Q180" i="3"/>
  <c r="Q179" i="3"/>
  <c r="Q178" i="3"/>
  <c r="Q177" i="3"/>
  <c r="Q176" i="3"/>
  <c r="Q175" i="3"/>
  <c r="Q174" i="3"/>
  <c r="Q173" i="3"/>
  <c r="Q172" i="3"/>
  <c r="Q171" i="3"/>
  <c r="Q170" i="3"/>
  <c r="Q169" i="3"/>
  <c r="Q168" i="3"/>
  <c r="Q167" i="3"/>
  <c r="Q166" i="3"/>
  <c r="Q165" i="3"/>
  <c r="Q164" i="3"/>
  <c r="Q163" i="3"/>
  <c r="Q162" i="3"/>
  <c r="Q161" i="3"/>
  <c r="Q160" i="3"/>
  <c r="Q159" i="3"/>
  <c r="Q158" i="3"/>
  <c r="Q157" i="3"/>
  <c r="Q156" i="3"/>
  <c r="Q155" i="3"/>
  <c r="Q154" i="3"/>
  <c r="Q153" i="3"/>
  <c r="Q152" i="3"/>
  <c r="Q151" i="3"/>
  <c r="Q150" i="3"/>
  <c r="Q149" i="3"/>
  <c r="Q148" i="3"/>
  <c r="Q147" i="3"/>
  <c r="Q146" i="3"/>
  <c r="Q145" i="3"/>
  <c r="Q144" i="3"/>
  <c r="Q143" i="3"/>
  <c r="Q142" i="3"/>
  <c r="Q141" i="3"/>
  <c r="Q140" i="3"/>
  <c r="Q139" i="3"/>
  <c r="Q138" i="3"/>
  <c r="Q137" i="3"/>
  <c r="Q136" i="3"/>
  <c r="Q135" i="3"/>
  <c r="Q134" i="3"/>
  <c r="Q133" i="3"/>
  <c r="Q132" i="3"/>
  <c r="Q131" i="3"/>
  <c r="Q130" i="3"/>
  <c r="Q129" i="3"/>
  <c r="Q128" i="3"/>
  <c r="Q127" i="3"/>
  <c r="Q126" i="3"/>
  <c r="Q125" i="3"/>
  <c r="Q124" i="3"/>
  <c r="Q123" i="3"/>
  <c r="Q122" i="3"/>
  <c r="Q121" i="3"/>
  <c r="Q120" i="3"/>
  <c r="Q119" i="3"/>
  <c r="Q118" i="3"/>
  <c r="Q117" i="3"/>
  <c r="Q116" i="3"/>
  <c r="Q115" i="3"/>
  <c r="Q114" i="3"/>
  <c r="Q113" i="3"/>
  <c r="Q112" i="3"/>
  <c r="Q111" i="3"/>
  <c r="Q110" i="3"/>
  <c r="Q109" i="3"/>
  <c r="Q108" i="3"/>
  <c r="Q107" i="3"/>
  <c r="Q106" i="3"/>
  <c r="Q105" i="3"/>
  <c r="Q104" i="3"/>
  <c r="Q103" i="3"/>
  <c r="Q102" i="3"/>
  <c r="Q101" i="3"/>
  <c r="Q100" i="3"/>
  <c r="Q99" i="3"/>
  <c r="Q98" i="3"/>
  <c r="Q97" i="3"/>
  <c r="Q96" i="3"/>
  <c r="Q95" i="3"/>
  <c r="Q94" i="3"/>
  <c r="Q93" i="3"/>
  <c r="Q92" i="3"/>
  <c r="Q91" i="3"/>
  <c r="Q90" i="3"/>
  <c r="Q89" i="3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Q61" i="3"/>
  <c r="Q60" i="3"/>
  <c r="Q59" i="3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Q3" i="3"/>
  <c r="Q2" i="3"/>
  <c r="C21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U19" i="1"/>
  <c r="T19" i="1"/>
  <c r="S19" i="1"/>
  <c r="R19" i="1"/>
  <c r="Q19" i="1"/>
  <c r="P19" i="1"/>
  <c r="O19" i="1"/>
  <c r="M19" i="1"/>
  <c r="L19" i="1"/>
  <c r="K19" i="1"/>
  <c r="J19" i="1"/>
  <c r="I19" i="1"/>
  <c r="H19" i="1"/>
  <c r="G19" i="1"/>
  <c r="F19" i="1"/>
  <c r="E19" i="1"/>
  <c r="D19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U17" i="1"/>
  <c r="T17" i="1"/>
  <c r="S17" i="1"/>
  <c r="R17" i="1"/>
  <c r="Q17" i="1"/>
  <c r="O17" i="1"/>
  <c r="N17" i="1"/>
  <c r="M17" i="1"/>
  <c r="L17" i="1"/>
  <c r="K17" i="1"/>
  <c r="J17" i="1"/>
  <c r="I17" i="1"/>
  <c r="H17" i="1"/>
  <c r="G17" i="1"/>
  <c r="F17" i="1"/>
  <c r="E17" i="1"/>
  <c r="D17" i="1"/>
  <c r="U16" i="1"/>
  <c r="T16" i="1"/>
  <c r="S16" i="1"/>
  <c r="R16" i="1"/>
  <c r="Q16" i="1"/>
  <c r="P16" i="1"/>
  <c r="O16" i="1"/>
  <c r="M16" i="1"/>
  <c r="L16" i="1"/>
  <c r="K16" i="1"/>
  <c r="J16" i="1"/>
  <c r="I16" i="1"/>
  <c r="H16" i="1"/>
  <c r="G16" i="1"/>
  <c r="F16" i="1"/>
  <c r="E16" i="1"/>
  <c r="D16" i="1"/>
  <c r="U15" i="1"/>
  <c r="T15" i="1"/>
  <c r="S15" i="1"/>
  <c r="R15" i="1"/>
  <c r="Q15" i="1"/>
  <c r="O15" i="1"/>
  <c r="M15" i="1"/>
  <c r="L15" i="1"/>
  <c r="K15" i="1"/>
  <c r="J15" i="1"/>
  <c r="I15" i="1"/>
  <c r="H15" i="1"/>
  <c r="G15" i="1"/>
  <c r="F15" i="1"/>
  <c r="E15" i="1"/>
  <c r="D15" i="1"/>
  <c r="U14" i="1"/>
  <c r="T14" i="1"/>
  <c r="S14" i="1"/>
  <c r="Q14" i="1"/>
  <c r="O14" i="1"/>
  <c r="N14" i="1"/>
  <c r="M14" i="1"/>
  <c r="L14" i="1"/>
  <c r="K14" i="1"/>
  <c r="J14" i="1"/>
  <c r="I14" i="1"/>
  <c r="H14" i="1"/>
  <c r="G14" i="1"/>
  <c r="F14" i="1"/>
  <c r="E14" i="1"/>
  <c r="D14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U5" i="1"/>
  <c r="T5" i="1"/>
  <c r="S5" i="1"/>
  <c r="R5" i="1"/>
  <c r="Q5" i="1"/>
  <c r="P5" i="1"/>
  <c r="O5" i="1"/>
  <c r="N5" i="1"/>
  <c r="M5" i="1"/>
  <c r="L5" i="1"/>
  <c r="L21" i="1" s="1"/>
  <c r="K5" i="1"/>
  <c r="J5" i="1"/>
  <c r="J21" i="1" s="1"/>
  <c r="I5" i="1"/>
  <c r="H5" i="1"/>
  <c r="G5" i="1"/>
  <c r="G21" i="1" s="1"/>
  <c r="F5" i="1"/>
  <c r="F21" i="1" s="1"/>
  <c r="E5" i="1"/>
  <c r="D5" i="1"/>
  <c r="P14" i="1" l="1"/>
  <c r="D21" i="1"/>
  <c r="P15" i="1"/>
  <c r="E21" i="1"/>
  <c r="U21" i="1"/>
  <c r="H21" i="1"/>
  <c r="I21" i="1"/>
  <c r="K21" i="1"/>
  <c r="L45" i="5"/>
  <c r="M45" i="5"/>
</calcChain>
</file>

<file path=xl/sharedStrings.xml><?xml version="1.0" encoding="utf-8"?>
<sst xmlns="http://schemas.openxmlformats.org/spreadsheetml/2006/main" count="9175" uniqueCount="1807">
  <si>
    <t>Estado de avance de la digitalización de los censos históricos (1813–1982)</t>
  </si>
  <si>
    <t>Generado el 21-10-2026 con herramientas/resumen_avance.py. Conteos y niveles: fórmulas sobre las hojas Catálogo y Cifras. Columnas en azul: escritas a mano. Ver la hoja Notas.</t>
  </si>
  <si>
    <t>Censo</t>
  </si>
  <si>
    <t>Publicaciones</t>
  </si>
  <si>
    <t>Páginas del PDF</t>
  </si>
  <si>
    <t>Entradas en el catálogo</t>
  </si>
  <si>
    <t>Cuadros</t>
  </si>
  <si>
    <t>Bloques</t>
  </si>
  <si>
    <t>Textos</t>
  </si>
  <si>
    <t>Página del PDF verificada</t>
  </si>
  <si>
    <t>Página del PDF estimada</t>
  </si>
  <si>
    <t>Página sin ubicar o ausente</t>
  </si>
  <si>
    <t>Cuadros transcritos de la publicación</t>
  </si>
  <si>
    <t>Cifras digitalizadas del censo</t>
  </si>
  <si>
    <t>Total: transcrito</t>
  </si>
  <si>
    <t>Total: en los PDF</t>
  </si>
  <si>
    <t>Área: transcrito</t>
  </si>
  <si>
    <t>Área: en los PDF</t>
  </si>
  <si>
    <t>Área × sexo: transcrito</t>
  </si>
  <si>
    <t>Área × sexo: en los PDF</t>
  </si>
  <si>
    <t>Sexo × edad: transcrito</t>
  </si>
  <si>
    <t>Sexo × edad: en los PDF</t>
  </si>
  <si>
    <t>Cifras inconsistentes anotadas</t>
  </si>
  <si>
    <t>Estado</t>
  </si>
  <si>
    <t>Pendiente / próximo paso</t>
  </si>
  <si>
    <t>Observaciones</t>
  </si>
  <si>
    <t>pub_1813</t>
  </si>
  <si>
    <t>Parcial</t>
  </si>
  <si>
    <t>Opcional: edades por distrito desde los «Censo de territorio» (bloques). Santiago no está en la edición; Concepción solo con matrículas de 1812.</t>
  </si>
  <si>
    <t>Partido × sexo × edad (5 tramos) y × estado civil, y distrito × sexo, de los 14 partidos de Copiapó a Talca (cobertura parcial del país). Totales validados con el estado civil; en 8 partidos las edades no suman el total y en 4 los distritos tampoco (impreso así).</t>
  </si>
  <si>
    <t>pub_1835</t>
  </si>
  <si>
    <t>Nada más en el PDF para el núcleo: no trae edad ni área. Opcional: subdelegaciones de Santiago (PDF 93).</t>
  </si>
  <si>
    <t>Departamento × sexo × estado (solteros/casados) desde la propia publicación (arts. 34–42), validado con los sinópticos de 1865 y 1875 (salvo Cauquenes, +2). Sin edad en la publicación.</t>
  </si>
  <si>
    <t>—</t>
  </si>
  <si>
    <t>Sin publicación</t>
  </si>
  <si>
    <t>Transcribir la provincia del Maule (departamento y subdelegación × sexo × edad; copia de Memoria Chilena mc_1843_maule, PDF 72–98). Revisar la población por subdelegación del Repertorio nacional de 1850 (mc_1843_repertorio).</t>
  </si>
  <si>
    <t>Solo se publicó la provincia del Maule (Memoria Chilena), sin transcribir. Departamento y provincia (totales) desde los sinópticos de 1865 y 1875, que coinciden entre sí.</t>
  </si>
  <si>
    <t>Opcional: contrastar con el resumen general de 1907 (PDF 1222). Buscar un ejemplar digitalizado.</t>
  </si>
  <si>
    <t>Sin publicación digitalizada. Departamento y provincia (totales) desde los sinópticos de 1865 y 1875, que coinciden entre sí.</t>
  </si>
  <si>
    <t>pub_1865</t>
  </si>
  <si>
    <t>Serie desde otros censos</t>
  </si>
  <si>
    <t>Parroquia × sexo × edad (pág. 386, PDF 419) y subdelegación/distrito × sexo × edad desde los bloques provinciales (p. ej. Coquimbo, PDF 302).</t>
  </si>
  <si>
    <t>Departamento × sexo × edad en 6 tramos (pág. 352) y provincia × sexo × edad (pág. 360) desde la propia publicación; valida 1952 C5 y C6. Departamento (total) desde su sinóptico, validado con el de 1875; provincia × área (1952 C9). Escaneo malo: cifras dudosas fijadas con sumas por fila y por provincia y revisadas con la copia de Memoria Chilena (4 corregidas en Itata y Linares). Erratas: Caupolicán 16–25 hombres y Quinchao hasta 7 hombres.</t>
  </si>
  <si>
    <t>pub_1875</t>
  </si>
  <si>
    <t>Núcleo completo</t>
  </si>
  <si>
    <t>Opcional: subdelegación y distrito × sexo × edad, con urbana y rural del total (bloques provinciales). El área no viene por sexo.</t>
  </si>
  <si>
    <t>Departamento × sexo × edad en 6 tramos y departamento × área del cuadro general (págs. 602-605); provincias = 1952 C6 y C9, departamentos = sinóptico de 1875. Erratas: Valdivia urbana, La Unión 80+ hombres, Angol 51-80 hombres.</t>
  </si>
  <si>
    <t>pub_1885</t>
  </si>
  <si>
    <t>Opcional: subdelegación y distrito × sexo × edad, con urbana y rural (bloques provinciales del tomo I). El área no viene por sexo. El tomo 2 (Memoria Chilena) trae profesiones y extranjeros.</t>
  </si>
  <si>
    <t>Departamento × sexo × edad en 26 grupos (meses bajo 1 año) y departamento × área del cuadro general (págs. 839-846, leído en la copia de Memoria Chilena del tomo I porque el PDF del INE tiene filas manchadas). Incluye Tacna; sin ella, provincias = 1952 C5 y C9 y decenios del país = 1952 C7. 13 erratas anotadas; 1952 C5 tiene una errata de 3 000 en Malleco (Angol).</t>
  </si>
  <si>
    <t>pub_1895</t>
  </si>
  <si>
    <t>Opcional: subdelegación y distrito × sexo × edad, con urbana y rural del total (bloques provinciales de los tomos I a IV). El área no viene por sexo.</t>
  </si>
  <si>
    <t>Departamento × sexo × edad en 26 grupos (meses bajo 1 año) y departamento × área del cuadro general del tomo IV (págs. 467-486, leído en la copia de Memoria Chilena porque el PDF del INE está a ~72 dpi); provincias = 1952 C5, decenios del país = 1952 C7, área = 1920 C3. Muchas erratas del original anotadas; Colchagua menores de 2 años desde el tomo II (pág. 511).</t>
  </si>
  <si>
    <t>pub_1907</t>
  </si>
  <si>
    <t>Opcional: subdelegación y distrito × área × sexo (cuadro 1 de cada departamento). La edad no viene por área ni bajo departamento.</t>
  </si>
  <si>
    <t>Departamento × área × sexo (cuadro 1 del resumen de cada provincia; = 1920 C3 salvo Quillota, que cuenta 2 694 personas como urbanas que el total de Valparaíso pone como rurales) y departamento × sexo × edad en 18 grupos (cuadro 7 de cada departamento; provincias = 1952 C5, decenios = 1952 C7). Tacna incluye Tarata.</t>
  </si>
  <si>
    <t>pub_1920</t>
  </si>
  <si>
    <t>Opcional: comunas y subdelegaciones × área × sexo (Cuadro 5, págs. 8–104). La edad no viene por área ni bajo departamento.</t>
  </si>
  <si>
    <t>Departamento × área × sexo (Cuadro 4) y departamento × sexo × edad en 28 grupos (cap. II, cuadro 4: 7.221 cifras; decenios = 1952 C7). Erratas: Talca (total del departamento = Cuadro 3 errado; 45–49 y 60–64), La Ligua (2 años), Llanquihue (40–44, 85–89).</t>
  </si>
  <si>
    <t>pub_1930</t>
  </si>
  <si>
    <t>Opcional: comuna × sexo × edad simple (PDF ~337-480, muy extenso). Área × edad no viene.</t>
  </si>
  <si>
    <t>Comuna × área × sexo (Cuadro 9) y provincia × sexo × edad simple (tomo de edades, Cuadro 4: 5.253 cifras, totales = país y 1952 C5; décadas = 1952 C7). Erratas: Atacama (C9, C10), Valdivia edades 30, 31 y 40; compensadas en Cautín y Magallanes.</t>
  </si>
  <si>
    <t>pub_1940</t>
  </si>
  <si>
    <t>Opcional: edades individuales por provincia y sexo (pág. 8, PDF ~14). El volumen no trae edad por comuna ni área × edad.</t>
  </si>
  <si>
    <t>Comuna × área × sexo con viviendas (cifras ajustadas, pág. 76) y provincia × sexo × edad quinquenal (cifras revisadas, pág. 332; coincide con los comparativos de 1952). Las dos series difieren por el ajuste de ~2,8 %.</t>
  </si>
  <si>
    <t>pub_1952</t>
  </si>
  <si>
    <t>Falta edad</t>
  </si>
  <si>
    <t>Edad bajo el país: comuna × área × sexo × edad solo para el Núcleo Central (Tomo II, Cuadro 1 de cada provincia: muy extenso). Sexo por comuna para 14 provincias en la división territorial (mecanografiada).</t>
  </si>
  <si>
    <t>Comuna (total, Cuadro Nacional 4: 271 comunas), provincia × área × sexo (Cuadro Nacional 2) y país × área × sexo × edad simple (Cuadro Nacional 1; quinquenios = Cuadro Nacional 7). Los cuadros nacionales 1 y 2 faltan en el escaneo del INE (págs. 85–116) y se leyeron en la copia de Memoria Chilena; coinciden con los comparativos 5 y 9. Errata: hombres rurales de 12 años.</t>
  </si>
  <si>
    <t>pub_1960</t>
  </si>
  <si>
    <t>Opcional: 1.2.2 (comunas cabeceras de provincia por edad y sexo, PDF ~146). El volumen no trae sexo × edad por provincia ni datos por comuna para todo el país.</t>
  </si>
  <si>
    <t>Provincia × área × sexo (1.2), provincia × edad en 17 grupos (1.2.1) y país × área × sexo × edad simple, con meses bajo 1 año (1.3). Todas las sumas cuadran; los totales en negrita se fijaron con las sumas.</t>
  </si>
  <si>
    <t>pub_1970</t>
  </si>
  <si>
    <t>Nada más en el volumen «Total País». Buscar los volúmenes provinciales de 1970 (área, sexo y edad por provincia y comuna).</t>
  </si>
  <si>
    <t>País × área × sexo × edad simple (Cuadro 3, 936 cifras, todas cuadran) y población total por provincia (Cuadro 5). El volumen disponible no trae área, sexo ni edad por provincia.</t>
  </si>
  <si>
    <t>pub_1982_v1, pub_1982_v2, pub_1982_v3</t>
  </si>
  <si>
    <t>Nada más para el núcleo en los volúmenes publicados (la edad solo viene para el país). Tomos II y III: ocupación, educación, vivienda, hogar y familia (módulos temáticos).</t>
  </si>
  <si>
    <t>Región, provincia y comuna × área × sexo (Cuadro 1.01); país × área × sexo × edad simple (Cuadro 1.03, 1.089 cifras, todas las sumas cuadran). Los volúmenes no traen edad bajo el nivel país.</t>
  </si>
  <si>
    <t>Total</t>
  </si>
  <si>
    <t>Las cifras se cuentan por el censo al que se refieren, aunque vengan de la publicación de otro censo: p. ej., 1865 tiene cifras de 1920 C1 y 1952 C9 sin tener cuadros transcritos de su propia publicación. El catálogo de 1992 (9 entradas) no se incluye.</t>
  </si>
  <si>
    <t>«Transcrito»: nivel más fino ya digitalizado. «En los PDF»: nivel más fino que traen las publicaciones según el catálogo (incluidos los cuadros comparativos de censos posteriores); «(parcial)» = solo para parte del país; si para parte del país hay un nivel más fino que para el país completo, se muestran ambos.</t>
  </si>
  <si>
    <t>Estados</t>
  </si>
  <si>
    <t>Población por territorio × área × sexo × edad transcrita al nivel más fino que traen los PDF.</t>
  </si>
  <si>
    <t>Población por territorio × área × sexo transcrita; falta la edad.</t>
  </si>
  <si>
    <t>Hay cifras por territorio y área, pero falta sexo (salvo para el país) o falta bajar de provincia.</t>
  </si>
  <si>
    <t>Cifras tomadas de cuadros comparativos de censos posteriores; la publicación propia aún no se transcribe.</t>
  </si>
  <si>
    <t>Catalogado</t>
  </si>
  <si>
    <t>Cuadros catalogados; sin cifras transcritas.</t>
  </si>
  <si>
    <t>No hay publicación digitalizada.</t>
  </si>
  <si>
    <t>Publicación</t>
  </si>
  <si>
    <t>Cuadro</t>
  </si>
  <si>
    <t>Nivel territorial</t>
  </si>
  <si>
    <t>Con área</t>
  </si>
  <si>
    <t>Con sexo</t>
  </si>
  <si>
    <t>Con edad</t>
  </si>
  <si>
    <t>Cifras</t>
  </si>
  <si>
    <t>Con valor</t>
  </si>
  <si>
    <t>Inconsistentes</t>
  </si>
  <si>
    <t>censo_provincia</t>
  </si>
  <si>
    <t>partido</t>
  </si>
  <si>
    <t>No</t>
  </si>
  <si>
    <t>Sí</t>
  </si>
  <si>
    <t>censo_provincia_distritos</t>
  </si>
  <si>
    <t>distrito</t>
  </si>
  <si>
    <t>art34_42</t>
  </si>
  <si>
    <t>departamento</t>
  </si>
  <si>
    <t>provincia</t>
  </si>
  <si>
    <t>p392</t>
  </si>
  <si>
    <t>pais</t>
  </si>
  <si>
    <t>p645</t>
  </si>
  <si>
    <t>p352</t>
  </si>
  <si>
    <t>p360</t>
  </si>
  <si>
    <t>1</t>
  </si>
  <si>
    <t>5</t>
  </si>
  <si>
    <t>6</t>
  </si>
  <si>
    <t>9</t>
  </si>
  <si>
    <t>602</t>
  </si>
  <si>
    <t>839</t>
  </si>
  <si>
    <t>7</t>
  </si>
  <si>
    <t>II.511</t>
  </si>
  <si>
    <t>IV.467</t>
  </si>
  <si>
    <t>3</t>
  </si>
  <si>
    <t>10</t>
  </si>
  <si>
    <t>4</t>
  </si>
  <si>
    <t>II.4</t>
  </si>
  <si>
    <t>comuna</t>
  </si>
  <si>
    <t>edad4</t>
  </si>
  <si>
    <t>p332</t>
  </si>
  <si>
    <t>p76</t>
  </si>
  <si>
    <t>1.1.1</t>
  </si>
  <si>
    <t>mc_1952_t1</t>
  </si>
  <si>
    <t>N1</t>
  </si>
  <si>
    <t>N2</t>
  </si>
  <si>
    <t>N4</t>
  </si>
  <si>
    <t>N7</t>
  </si>
  <si>
    <t>1.2</t>
  </si>
  <si>
    <t>1.2.1</t>
  </si>
  <si>
    <t>1.3</t>
  </si>
  <si>
    <t>pub_1982_v1</t>
  </si>
  <si>
    <t>1.01</t>
  </si>
  <si>
    <t>region</t>
  </si>
  <si>
    <t>1.03</t>
  </si>
  <si>
    <t>fuente_id</t>
  </si>
  <si>
    <t>censo</t>
  </si>
  <si>
    <t>seccion</t>
  </si>
  <si>
    <t>cuadro</t>
  </si>
  <si>
    <t>titulo</t>
  </si>
  <si>
    <t>tipo</t>
  </si>
  <si>
    <t>pagina_impresa</t>
  </si>
  <si>
    <t>pagina_pdf</t>
  </si>
  <si>
    <t>pagina_pdf_estado</t>
  </si>
  <si>
    <t>censos_datos</t>
  </si>
  <si>
    <t>nivel_territorial</t>
  </si>
  <si>
    <t>variables</t>
  </si>
  <si>
    <t>cobertura</t>
  </si>
  <si>
    <t>desagregacion_fuente</t>
  </si>
  <si>
    <t>estado</t>
  </si>
  <si>
    <t>nota</t>
  </si>
  <si>
    <t>nivel_orden</t>
  </si>
  <si>
    <t>Preliminares</t>
  </si>
  <si>
    <t>Introducción (empadronamientos coloniales y antecedentes del censo de 1813)</t>
  </si>
  <si>
    <t>texto</t>
  </si>
  <si>
    <t>verificada</t>
  </si>
  <si>
    <t>pendiente</t>
  </si>
  <si>
    <t>Págs. romanas, PDF 4-17 aprox.</t>
  </si>
  <si>
    <t>Documentos del censo (instrucciones de la Junta de Gobierno y oficios)</t>
  </si>
  <si>
    <t>Págs. 1-16 aprox., PDF 18-32.</t>
  </si>
  <si>
    <t>Partido de Copiapó</t>
  </si>
  <si>
    <t>Partido de Copiapó: censo de territorio por distrito</t>
  </si>
  <si>
    <t>bloque</t>
  </si>
  <si>
    <t>1813</t>
  </si>
  <si>
    <t>sexo+edad</t>
  </si>
  <si>
    <t>parcial</t>
  </si>
  <si>
    <t>PDF 33-61. Cuadros 'Censo de territorio' por distrito (casados, solteros y viudos por sexo, total de hombres, mujeres y almas; edades; clases).</t>
  </si>
  <si>
    <t>Partido de Copiapó: censo de provincia, total de su población (estado civil por sexo y edades del total)</t>
  </si>
  <si>
    <t>transcrito</t>
  </si>
  <si>
    <t>Transcrito en digitalizacion/1813/pub_1813_provincias.csv (edad × sexo, estado civil, totales) y pub_1813_distritos.csv (distritos × sexo).</t>
  </si>
  <si>
    <t>Villa de Huasco</t>
  </si>
  <si>
    <t>Villa de Huasco: censo de territorio por distrito</t>
  </si>
  <si>
    <t>PDF 63-63. Cuadros 'Censo de territorio' por distrito (casados, solteros y viudos por sexo, total de hombres, mujeres y almas; edades; clases).</t>
  </si>
  <si>
    <t>Villa de Huasco: censo de provincia, total de su población (estado civil por sexo y edades del total)</t>
  </si>
  <si>
    <t>Ciudad de La Serena</t>
  </si>
  <si>
    <t>Ciudad de La Serena: censo de territorio por distrito</t>
  </si>
  <si>
    <t>PDF 66-88. Cuadros 'Censo de territorio' por distrito (casados, solteros y viudos por sexo, total de hombres, mujeres y almas; edades; clases). Incluye cuerpos veteranos, rentas de conventos y objetos públicos (PDF 67, 71, 74, 84).</t>
  </si>
  <si>
    <t>Ciudad de La Serena: censo de provincia, total de su población (estado civil por sexo y edades del total)</t>
  </si>
  <si>
    <t>Provincia de Petorca</t>
  </si>
  <si>
    <t>Petorca: censo de territorio por distrito</t>
  </si>
  <si>
    <t>PDF 93-98. Cuadros 'Censo de territorio' por distrito (casados, solteros y viudos por sexo, total de hombres, mujeres y almas; edades; clases).</t>
  </si>
  <si>
    <t>Petorca: censo de provincia, total de su población (estado civil por sexo y edades del total)</t>
  </si>
  <si>
    <t>Provincia de La Ligua</t>
  </si>
  <si>
    <t>La Ligua: censo de territorio por distrito</t>
  </si>
  <si>
    <t>PDF 102-109. Cuadros 'Censo de territorio' por distrito (casados, solteros y viudos por sexo, total de hombres, mujeres y almas; edades; clases).</t>
  </si>
  <si>
    <t>La Ligua: censo de provincia, total de su población (estado civil por sexo y edades del total)</t>
  </si>
  <si>
    <t>Provincia de Aconcagua (San Felipe)</t>
  </si>
  <si>
    <t>Aconcagua (San Felipe): censo de territorio por distrito</t>
  </si>
  <si>
    <t>PDF 112-132. Cuadros 'Censo de territorio' por distrito (casados, solteros y viudos por sexo, total de hombres, mujeres y almas; edades; clases).</t>
  </si>
  <si>
    <t>Aconcagua (San Felipe): censo de provincia, total de su población (estado civil por sexo y edades del total)</t>
  </si>
  <si>
    <t>Provincia de Santa Rosa de los Andes</t>
  </si>
  <si>
    <t>Santa Rosa de los Andes: censo de territorio por distrito</t>
  </si>
  <si>
    <t>PDF 137-143. Cuadros 'Censo de territorio' por distrito (casados, solteros y viudos por sexo, total de hombres, mujeres y almas; edades; clases).</t>
  </si>
  <si>
    <t>Santa Rosa de los Andes: censo de provincia, total de su población (estado civil por sexo y edades del total)</t>
  </si>
  <si>
    <t>Villa de Quillota</t>
  </si>
  <si>
    <t>Villa de Quillota: censo de territorio por distrito</t>
  </si>
  <si>
    <t>PDF 147-160. Cuadros 'Censo de territorio' por distrito (casados, solteros y viudos por sexo, total de hombres, mujeres y almas; edades; clases).</t>
  </si>
  <si>
    <t>Villa de Quillota: censo de provincia, total de su población (estado civil por sexo y edades del total)</t>
  </si>
  <si>
    <t>Provincia de Valparaíso</t>
  </si>
  <si>
    <t>Valparaíso: censo de territorio por distrito</t>
  </si>
  <si>
    <t>PDF 165-170. Cuadros 'Censo de territorio' por distrito (casados, solteros y viudos por sexo, total de hombres, mujeres y almas; edades; clases). El total (PDF 168) va entre los distritos; nota sobre compañías de voluntarios en PDF 171.</t>
  </si>
  <si>
    <t>Valparaíso: censo de provincia, total de su población (estado civil por sexo y edades del total)</t>
  </si>
  <si>
    <t>Provincia de Melipilla</t>
  </si>
  <si>
    <t>Melipilla: censo de territorio por distrito</t>
  </si>
  <si>
    <t>PDF 173-183. Cuadros 'Censo de territorio' por distrito (casados, solteros y viudos por sexo, total de hombres, mujeres y almas; edades; clases).</t>
  </si>
  <si>
    <t>Melipilla: censo de provincia, total de su población (estado civil por sexo y edades del total)</t>
  </si>
  <si>
    <t>Provincia de Rancagua</t>
  </si>
  <si>
    <t>Rancagua: censo de territorio por distrito</t>
  </si>
  <si>
    <t>PDF 190-216. Cuadros 'Censo de territorio' por distrito (casados, solteros y viudos por sexo, total de hombres, mujeres y almas; edades; clases). Los distritos de PDF 190-216 dicen 'provincia de Rancagua', pero el total que les sigue (PDF 217) dice 'Provincia de Colchagua' (60.202 almas); el total rotulado Rancagua (36.289) está en PDF 231, después de los distritos de Colchagua. Revisar al transcribir.</t>
  </si>
  <si>
    <t>Rancagua: censo de provincia, total de su población (estado civil por sexo y edades del total)</t>
  </si>
  <si>
    <t>Provincia de Colchagua</t>
  </si>
  <si>
    <t>Colchagua: censo de territorio por distrito</t>
  </si>
  <si>
    <t>PDF 219-230. Cuadros 'Censo de territorio' por distrito (casados, solteros y viudos por sexo, total de hombres, mujeres y almas; edades; clases). Ver nota de Rancagua: el total rotulado Colchagua está en PDF 217.</t>
  </si>
  <si>
    <t>Colchagua: censo de provincia, total de su población (estado civil por sexo y edades del total)</t>
  </si>
  <si>
    <t>Provincia de Curicó</t>
  </si>
  <si>
    <t>Curicó: censo de territorio por distrito</t>
  </si>
  <si>
    <t>PDF 235-248. Cuadros 'Censo de territorio' por distrito (casados, solteros y viudos por sexo, total de hombres, mujeres y almas; edades; clases).</t>
  </si>
  <si>
    <t>Curicó: censo de provincia, total de su población (estado civil por sexo y edades del total)</t>
  </si>
  <si>
    <t>Provincia de San Agustín de Talca</t>
  </si>
  <si>
    <t>San Agustín de Talca: censo de territorio por distrito</t>
  </si>
  <si>
    <t>PDF 251-258. Cuadros 'Censo de territorio' por distrito (casados, solteros y viudos por sexo, total de hombres, mujeres y almas; edades; clases). Notas de la provincia (artesanos por distrito) en PDF 260.</t>
  </si>
  <si>
    <t>San Agustín de Talca: censo de provincia, total de su población (estado civil por sexo y edades del total)</t>
  </si>
  <si>
    <t>Provincia de Concepción</t>
  </si>
  <si>
    <t>Total de almas de la provincia de Concepción conforme a las matrículas del año 1812, por curatos</t>
  </si>
  <si>
    <t>PDF 261-263; no es parte del censo de 1813 propiamente tal.</t>
  </si>
  <si>
    <t>Cap. I Noticia de Chile en general</t>
  </si>
  <si>
    <t>Art. 1</t>
  </si>
  <si>
    <t>Topografía</t>
  </si>
  <si>
    <t>Art. 2</t>
  </si>
  <si>
    <t>División y subdivisión política del territorio</t>
  </si>
  <si>
    <t>2</t>
  </si>
  <si>
    <t>estimada</t>
  </si>
  <si>
    <t>Art. 3</t>
  </si>
  <si>
    <t>Habitantes</t>
  </si>
  <si>
    <t>Población de la República por provincias.</t>
  </si>
  <si>
    <t>Art. 4-5</t>
  </si>
  <si>
    <t>Gobierno; gobierno y administración interior</t>
  </si>
  <si>
    <t>Cap. II-VIII</t>
  </si>
  <si>
    <t>Art. 6-33</t>
  </si>
  <si>
    <t>Aduanas, extranjeros, monedas, administración, agentes diplomáticos, deuda, producciones y meteorología</t>
  </si>
  <si>
    <t>18</t>
  </si>
  <si>
    <t>Sin cifras de población.</t>
  </si>
  <si>
    <t>Cap. IX Noticia individual de las provincias y departamentos</t>
  </si>
  <si>
    <t>Art. 34</t>
  </si>
  <si>
    <t>Provincia de Chiloé</t>
  </si>
  <si>
    <t>171</t>
  </si>
  <si>
    <t>1835</t>
  </si>
  <si>
    <t>sexo</t>
  </si>
  <si>
    <t>completa</t>
  </si>
  <si>
    <t>Departamentos × sexo × solteros/casados. Transcrito en digitalizacion/1835/pub_1835_departamentos.csv.</t>
  </si>
  <si>
    <t>Art. 35</t>
  </si>
  <si>
    <t>Provincia de Valdivia</t>
  </si>
  <si>
    <t>173</t>
  </si>
  <si>
    <t>Art. 36</t>
  </si>
  <si>
    <t>175</t>
  </si>
  <si>
    <t>Art. 37</t>
  </si>
  <si>
    <t>Provincia de Maule</t>
  </si>
  <si>
    <t>181</t>
  </si>
  <si>
    <t>Art. 38</t>
  </si>
  <si>
    <t>Provincia de Talca</t>
  </si>
  <si>
    <t>186</t>
  </si>
  <si>
    <t>Art. 39</t>
  </si>
  <si>
    <t>187</t>
  </si>
  <si>
    <t>Art. 40</t>
  </si>
  <si>
    <t>Provincia de Santiago</t>
  </si>
  <si>
    <t>190</t>
  </si>
  <si>
    <t>Art. 41</t>
  </si>
  <si>
    <t>Provincia de Aconcagua</t>
  </si>
  <si>
    <t>210</t>
  </si>
  <si>
    <t>Art. 42</t>
  </si>
  <si>
    <t>Provincia de Coquimbo</t>
  </si>
  <si>
    <t>216</t>
  </si>
  <si>
    <t>Cap. X-XI</t>
  </si>
  <si>
    <t>Art. 43-44</t>
  </si>
  <si>
    <t>Ingresos nacionales en 1834; acontecimientos notables de la administración Prieto</t>
  </si>
  <si>
    <t>223</t>
  </si>
  <si>
    <t>Nota de introducción; ley que manda levantar el censo; decreto supremo; instrucciones a los intendentes</t>
  </si>
  <si>
    <t>desconocida</t>
  </si>
  <si>
    <t>Págs. III-XVI (romanas).</t>
  </si>
  <si>
    <t>Población de países americanos, europeos, asiáticos, africanos y de Oceanía; principales ciudades del mundo; áreas territoriales</t>
  </si>
  <si>
    <t>Págs. XVII-XXVII (romanas).</t>
  </si>
  <si>
    <t>Territorio de Magallanes y Provincia de Chiloé</t>
  </si>
  <si>
    <t>Territorio de Magallanes y Provincia de Chiloé: descripción y cuadros de la provincia</t>
  </si>
  <si>
    <t>1865</t>
  </si>
  <si>
    <t>Págs. impresas 1-16. Clasificación de los habitantes por distritos, según el sexo, edad, estado civil y grado de instrucción; por subdelegaciones y departamentos (resumen por departamentos, edad fija de los mayores de 80 años, proporción de los que leen y escriben); profesiones por departamentos y sexo; nacionalidades y nacionalizados; profesiones por nacionalidad; individuos imposibilitados física y moralmente. Descripción de Magallanes (1) y de Chiloé (3); cuadros conjuntos desde la pág. 7.</t>
  </si>
  <si>
    <t>Provincia de Llanquihue</t>
  </si>
  <si>
    <t>Provincia de Llanquihue: descripción y cuadros de la provincia</t>
  </si>
  <si>
    <t>17</t>
  </si>
  <si>
    <t>Págs. impresas 17-30. Clasificación de los habitantes por distritos, según el sexo, edad, estado civil y grado de instrucción; por subdelegaciones y departamentos (resumen por departamentos, edad fija de los mayores de 80 años, proporción de los que leen y escriben); profesiones por departamentos y sexo; nacionalidades y nacionalizados; profesiones por nacionalidad; individuos imposibilitados física y moralmente.</t>
  </si>
  <si>
    <t>Provincia de Valdivia: descripción y cuadros de la provincia</t>
  </si>
  <si>
    <t>31</t>
  </si>
  <si>
    <t>Págs. impresas 31-44. Clasificación de los habitantes por distritos, según el sexo, edad, estado civil y grado de instrucción; por subdelegaciones y departamentos (resumen por departamentos, edad fija de los mayores de 80 años, proporción de los que leen y escriben); profesiones por departamentos y sexo; nacionalidades y nacionalizados; profesiones por nacionalidad; individuos imposibilitados física y moralmente.</t>
  </si>
  <si>
    <t>Provincia de Arauco</t>
  </si>
  <si>
    <t>Provincia de Arauco: descripción y cuadros de la provincia</t>
  </si>
  <si>
    <t>45</t>
  </si>
  <si>
    <t>Págs. impresas 45-60. Clasificación de los habitantes por distritos, según el sexo, edad, estado civil y grado de instrucción; por subdelegaciones y departamentos (resumen por departamentos, edad fija de los mayores de 80 años, proporción de los que leen y escriben); profesiones por departamentos y sexo; nacionalidades y nacionalizados; profesiones por nacionalidad; individuos imposibilitados física y moralmente.</t>
  </si>
  <si>
    <t>Provincia de Concepción: descripción y cuadros de la provincia</t>
  </si>
  <si>
    <t>61</t>
  </si>
  <si>
    <t>Págs. impresas 61-88. Clasificación de los habitantes por distritos, según el sexo, edad, estado civil y grado de instrucción; por subdelegaciones y departamentos (resumen por departamentos, edad fija de los mayores de 80 años, proporción de los que leen y escriben); profesiones por departamentos y sexo; nacionalidades y nacionalizados; profesiones por nacionalidad; individuos imposibilitados física y moralmente.</t>
  </si>
  <si>
    <t>Provincia de Ñuble</t>
  </si>
  <si>
    <t>Provincia de Ñuble: descripción y cuadros de la provincia</t>
  </si>
  <si>
    <t>89</t>
  </si>
  <si>
    <t>Págs. impresas 89-102. Clasificación de los habitantes por distritos, según el sexo, edad, estado civil y grado de instrucción; por subdelegaciones y departamentos (resumen por departamentos, edad fija de los mayores de 80 años, proporción de los que leen y escriben); profesiones por departamentos y sexo; nacionalidades y nacionalizados; profesiones por nacionalidad; individuos imposibilitados física y moralmente.</t>
  </si>
  <si>
    <t>Provincia de Maule: descripción y cuadros de la provincia</t>
  </si>
  <si>
    <t>103</t>
  </si>
  <si>
    <t>Págs. impresas 103-126. Clasificación de los habitantes por distritos, según el sexo, edad, estado civil y grado de instrucción; por subdelegaciones y departamentos (resumen por departamentos, edad fija de los mayores de 80 años, proporción de los que leen y escriben); profesiones por departamentos y sexo; nacionalidades y nacionalizados; profesiones por nacionalidad; individuos imposibilitados física y moralmente.</t>
  </si>
  <si>
    <t>Provincia de Talca: descripción y cuadros de la provincia</t>
  </si>
  <si>
    <t>127</t>
  </si>
  <si>
    <t>Págs. impresas 127-142. Clasificación de los habitantes por distritos, según el sexo, edad, estado civil y grado de instrucción; por subdelegaciones y departamentos (resumen por departamentos, edad fija de los mayores de 80 años, proporción de los que leen y escriben); profesiones por departamentos y sexo; nacionalidades y nacionalizados; profesiones por nacionalidad; individuos imposibilitados física y moralmente.</t>
  </si>
  <si>
    <t>Provincia de Colchagua: descripción y cuadros de la provincia</t>
  </si>
  <si>
    <t>143</t>
  </si>
  <si>
    <t>Págs. impresas 143-164. Clasificación de los habitantes por distritos, según el sexo, edad, estado civil y grado de instrucción; por subdelegaciones y departamentos (resumen por departamentos, edad fija de los mayores de 80 años, proporción de los que leen y escriben); profesiones por departamentos y sexo; nacionalidades y nacionalizados; profesiones por nacionalidad; individuos imposibilitados física y moralmente.</t>
  </si>
  <si>
    <t>Provincia de Santiago: descripción y cuadros de la provincia</t>
  </si>
  <si>
    <t>165</t>
  </si>
  <si>
    <t>Págs. impresas 165-196. Clasificación de los habitantes por distritos, según el sexo, edad, estado civil y grado de instrucción; por subdelegaciones y departamentos (resumen por departamentos, edad fija de los mayores de 80 años, proporción de los que leen y escriben); profesiones por departamentos y sexo; nacionalidades y nacionalizados; profesiones por nacionalidad; individuos imposibilitados física y moralmente.</t>
  </si>
  <si>
    <t>Provincia de Valparaíso: descripción y cuadros de la provincia</t>
  </si>
  <si>
    <t>197</t>
  </si>
  <si>
    <t>Págs. impresas 197-228. Clasificación de los habitantes por distritos, según el sexo, edad, estado civil y grado de instrucción; por subdelegaciones y departamentos (resumen por departamentos, edad fija de los mayores de 80 años, proporción de los que leen y escriben); profesiones por departamentos y sexo; nacionalidades y nacionalizados; profesiones por nacionalidad; individuos imposibilitados física y moralmente.</t>
  </si>
  <si>
    <t>Provincia de Aconcagua: descripción y cuadros de la provincia</t>
  </si>
  <si>
    <t>229</t>
  </si>
  <si>
    <t>Págs. impresas 229-256. Clasificación de los habitantes por distritos, según el sexo, edad, estado civil y grado de instrucción; por subdelegaciones y departamentos (resumen por departamentos, edad fija de los mayores de 80 años, proporción de los que leen y escriben); profesiones por departamentos y sexo; nacionalidades y nacionalizados; profesiones por nacionalidad; individuos imposibilitados física y moralmente.</t>
  </si>
  <si>
    <t>Provincia de Coquimbo: descripción y cuadros de la provincia</t>
  </si>
  <si>
    <t>257</t>
  </si>
  <si>
    <t>Págs. impresas 257-288. Clasificación de los habitantes por distritos, según el sexo, edad, estado civil y grado de instrucción; por subdelegaciones y departamentos (resumen por departamentos, edad fija de los mayores de 80 años, proporción de los que leen y escriben); profesiones por departamentos y sexo; nacionalidades y nacionalizados; profesiones por nacionalidad; individuos imposibilitados física y moralmente.</t>
  </si>
  <si>
    <t>Provincia de Atacama</t>
  </si>
  <si>
    <t>Provincia de Atacama: descripción y cuadros de la provincia</t>
  </si>
  <si>
    <t>289</t>
  </si>
  <si>
    <t>Págs. impresas 289-320. Clasificación de los habitantes por distritos, según el sexo, edad, estado civil y grado de instrucción; por subdelegaciones y departamentos (resumen por departamentos, edad fija de los mayores de 80 años, proporción de los que leen y escriben); profesiones por departamentos y sexo; nacionalidades y nacionalizados; profesiones por nacionalidad; individuos imposibilitados física y moralmente.</t>
  </si>
  <si>
    <t>Censo general de la República</t>
  </si>
  <si>
    <t>Límites, geografía, gobierno, división eclesiástica, comunicaciones, población (apreciaciones del censo), instrucción, beneficencia, agricultura, minería, comercio y hacienda</t>
  </si>
  <si>
    <t>321</t>
  </si>
  <si>
    <t>Págs. 321-349; 'Población: apreciaciones del presente censo' en pág. 332.</t>
  </si>
  <si>
    <t>Clasificación de los habitantes por departamentos, según el sexo, edad, estado civil y grado de instrucción</t>
  </si>
  <si>
    <t>352</t>
  </si>
  <si>
    <t>título</t>
  </si>
  <si>
    <t>Págs. 352-353 (PDF 385-386). Transcrito (edad × sexo y totales, sin estado civil ni instrucción) en digitalizacion/1865/pub_1865_p352.csv. Errata: Caupolicán 16-25 hombres.</t>
  </si>
  <si>
    <t>Edad fija de los individuos de 100 años hasta 110 inclusive, por departamentos</t>
  </si>
  <si>
    <t>354</t>
  </si>
  <si>
    <t>El índice la ubica después de la de 80-99 años; en el volumen va antes.</t>
  </si>
  <si>
    <t>Edad fija de los individuos de 80 años hasta 99 inclusive, por departamentos</t>
  </si>
  <si>
    <t>356</t>
  </si>
  <si>
    <t>Proporción, por departamentos, de los individuos que leen y escriben con la población</t>
  </si>
  <si>
    <t>358</t>
  </si>
  <si>
    <t>Clasificación de los habitantes por provincias, según el sexo, edad, estado civil y grado de instrucción</t>
  </si>
  <si>
    <t>360</t>
  </si>
  <si>
    <t>PDF 393-394. Transcrito (edad × sexo y totales, sin estado civil ni instrucción) en digitalizacion/1865/pub_1865_p360.csv; valida el Cuadro 6 de 1952.</t>
  </si>
  <si>
    <t>Edad fija de los individuos de 80 años hasta 99 inclusive, por provincias</t>
  </si>
  <si>
    <t>362</t>
  </si>
  <si>
    <t>Edad fija de los individuos de 100 años hasta 110 inclusive, por provincias</t>
  </si>
  <si>
    <t>364</t>
  </si>
  <si>
    <t>Proporción por provincias de los individuos que leen y escriben con la población</t>
  </si>
  <si>
    <t>366</t>
  </si>
  <si>
    <t>Resumen de las profesiones en toda la República, con especificación del sexo</t>
  </si>
  <si>
    <t>368</t>
  </si>
  <si>
    <t>Nacionalidades y nacionalizados en la República, con especificación del sexo, estado civil y grado de instrucción</t>
  </si>
  <si>
    <t>371</t>
  </si>
  <si>
    <t>Profesiones de los extranjeros existentes en la República, con especificación del sexo</t>
  </si>
  <si>
    <t>372</t>
  </si>
  <si>
    <t>Individuos imposibilitados física y moralmente en toda la República, con especificación del sexo</t>
  </si>
  <si>
    <t>381</t>
  </si>
  <si>
    <t>Estado general que demuestra la población de las ciudades, villas, aldeas y lugarejos de la República</t>
  </si>
  <si>
    <t>382</t>
  </si>
  <si>
    <t>Clasificación de los habitantes de la República, por parroquias, con especificación de la edad, sexo, estado civil y grado de instrucción</t>
  </si>
  <si>
    <t>386</t>
  </si>
  <si>
    <t>parroquia</t>
  </si>
  <si>
    <t>Cuadro sinóptico de los censos de la República levantados en 1835, 1843, 1854 y 1865</t>
  </si>
  <si>
    <t>392</t>
  </si>
  <si>
    <t>1835;1843;1854;1865</t>
  </si>
  <si>
    <t>Transcrito en digitalizacion/1865/pub_1865_p392.csv (departamentos) y _prov.csv (provincias); validado con el sinóptico de 1875.</t>
  </si>
  <si>
    <t>Nota al señor Ministro de lo Interior; introducción; consideraciones generales</t>
  </si>
  <si>
    <t>Págs. V-XXVII y siguientes (romanas).</t>
  </si>
  <si>
    <t>Territorio de Colonización de Magallanes</t>
  </si>
  <si>
    <t>Territorio de Colonización de Magallanes: descripción y cuadros de la provincia</t>
  </si>
  <si>
    <t>1875</t>
  </si>
  <si>
    <t>Págs. impresas 1-12. Población urbana y rural (solo del total): clasificación de los habitantes por distritos y por subdelegaciones y departamentos, según el sexo, edad, estado civil y grado de instrucción; mayores de 80 años; profesiones por departamentos y sexo; imposibilitados; extranjeros transeúntes, residentes y naturalizados (nacionalidad, sexo, estado civil, instrucción, edad y profesión).</t>
  </si>
  <si>
    <t>Provincia de Chiloé: descripción y cuadros de la provincia</t>
  </si>
  <si>
    <t>13</t>
  </si>
  <si>
    <t>Págs. impresas 13-38. Población urbana y rural (solo del total): clasificación de los habitantes por distritos y por subdelegaciones y departamentos, según el sexo, edad, estado civil y grado de instrucción; mayores de 80 años; profesiones por departamentos y sexo; imposibilitados; extranjeros transeúntes, residentes y naturalizados (nacionalidad, sexo, estado civil, instrucción, edad y profesión).</t>
  </si>
  <si>
    <t>39</t>
  </si>
  <si>
    <t>Págs. impresas 39-64. Población urbana y rural (solo del total): clasificación de los habitantes por distritos y por subdelegaciones y departamentos, según el sexo, edad, estado civil y grado de instrucción; mayores de 80 años; profesiones por departamentos y sexo; imposibilitados; extranjeros transeúntes, residentes y naturalizados (nacionalidad, sexo, estado civil, instrucción, edad y profesión).</t>
  </si>
  <si>
    <t>65</t>
  </si>
  <si>
    <t>Págs. impresas 65-86. Población urbana y rural (solo del total): clasificación de los habitantes por distritos y por subdelegaciones y departamentos, según el sexo, edad, estado civil y grado de instrucción; mayores de 80 años; profesiones por departamentos y sexo; imposibilitados; extranjeros transeúntes, residentes y naturalizados (nacionalidad, sexo, estado civil, instrucción, edad y profesión).</t>
  </si>
  <si>
    <t>87</t>
  </si>
  <si>
    <t>Págs. impresas 87-110. Población urbana y rural (solo del total): clasificación de los habitantes por distritos y por subdelegaciones y departamentos, según el sexo, edad, estado civil y grado de instrucción; mayores de 80 años; profesiones por departamentos y sexo; imposibilitados; extranjeros transeúntes, residentes y naturalizados (nacionalidad, sexo, estado civil, instrucción, edad y profesión).</t>
  </si>
  <si>
    <t>Territorio de Colonización de Angol</t>
  </si>
  <si>
    <t>Territorio de Colonización de Angol: descripción y cuadros de la provincia</t>
  </si>
  <si>
    <t>111</t>
  </si>
  <si>
    <t>Págs. impresas 111-118. Población urbana y rural (solo del total): clasificación de los habitantes por distritos y por subdelegaciones y departamentos, según el sexo, edad, estado civil y grado de instrucción; mayores de 80 años; profesiones por departamentos y sexo; imposibilitados; extranjeros transeúntes, residentes y naturalizados (nacionalidad, sexo, estado civil, instrucción, edad y profesión).</t>
  </si>
  <si>
    <t>Provincia de Bío-Bío</t>
  </si>
  <si>
    <t>Provincia de Bío-Bío: descripción y cuadros de la provincia</t>
  </si>
  <si>
    <t>119</t>
  </si>
  <si>
    <t>Págs. impresas 119-150. Población urbana y rural (solo del total): clasificación de los habitantes por distritos y por subdelegaciones y departamentos, según el sexo, edad, estado civil y grado de instrucción; mayores de 80 años; profesiones por departamentos y sexo; imposibilitados; extranjeros transeúntes, residentes y naturalizados (nacionalidad, sexo, estado civil, instrucción, edad y profesión).</t>
  </si>
  <si>
    <t>151</t>
  </si>
  <si>
    <t>Págs. impresas 151-194. Población urbana y rural (solo del total): clasificación de los habitantes por distritos y por subdelegaciones y departamentos, según el sexo, edad, estado civil y grado de instrucción; mayores de 80 años; profesiones por departamentos y sexo; imposibilitados; extranjeros transeúntes, residentes y naturalizados (nacionalidad, sexo, estado civil, instrucción, edad y profesión).</t>
  </si>
  <si>
    <t>195</t>
  </si>
  <si>
    <t>Págs. impresas 195-222. Población urbana y rural (solo del total): clasificación de los habitantes por distritos y por subdelegaciones y departamentos, según el sexo, edad, estado civil y grado de instrucción; mayores de 80 años; profesiones por departamentos y sexo; imposibilitados; extranjeros transeúntes, residentes y naturalizados (nacionalidad, sexo, estado civil, instrucción, edad y profesión).</t>
  </si>
  <si>
    <t>Págs. impresas 223-250. Población urbana y rural (solo del total): clasificación de los habitantes por distritos y por subdelegaciones y departamentos, según el sexo, edad, estado civil y grado de instrucción; mayores de 80 años; profesiones por departamentos y sexo; imposibilitados; extranjeros transeúntes, residentes y naturalizados (nacionalidad, sexo, estado civil, instrucción, edad y profesión).</t>
  </si>
  <si>
    <t>Provincia de Linares</t>
  </si>
  <si>
    <t>Provincia de Linares: descripción y cuadros de la provincia</t>
  </si>
  <si>
    <t>251</t>
  </si>
  <si>
    <t>Págs. impresas 251-276. Población urbana y rural (solo del total): clasificación de los habitantes por distritos y por subdelegaciones y departamentos, según el sexo, edad, estado civil y grado de instrucción; mayores de 80 años; profesiones por departamentos y sexo; imposibilitados; extranjeros transeúntes, residentes y naturalizados (nacionalidad, sexo, estado civil, instrucción, edad y profesión).</t>
  </si>
  <si>
    <t>277</t>
  </si>
  <si>
    <t>Págs. impresas 277-304. Población urbana y rural (solo del total): clasificación de los habitantes por distritos y por subdelegaciones y departamentos, según el sexo, edad, estado civil y grado de instrucción; mayores de 80 años; profesiones por departamentos y sexo; imposibilitados; extranjeros transeúntes, residentes y naturalizados (nacionalidad, sexo, estado civil, instrucción, edad y profesión).</t>
  </si>
  <si>
    <t>Provincia de Curicó: descripción y cuadros de la provincia</t>
  </si>
  <si>
    <t>305</t>
  </si>
  <si>
    <t>Págs. impresas 305-328. Población urbana y rural (solo del total): clasificación de los habitantes por distritos y por subdelegaciones y departamentos, según el sexo, edad, estado civil y grado de instrucción; mayores de 80 años; profesiones por departamentos y sexo; imposibilitados; extranjeros transeúntes, residentes y naturalizados (nacionalidad, sexo, estado civil, instrucción, edad y profesión).</t>
  </si>
  <si>
    <t>329</t>
  </si>
  <si>
    <t>Págs. impresas 329-354. Población urbana y rural (solo del total): clasificación de los habitantes por distritos y por subdelegaciones y departamentos, según el sexo, edad, estado civil y grado de instrucción; mayores de 80 años; profesiones por departamentos y sexo; imposibilitados; extranjeros transeúntes, residentes y naturalizados (nacionalidad, sexo, estado civil, instrucción, edad y profesión).</t>
  </si>
  <si>
    <t>355</t>
  </si>
  <si>
    <t>Págs. impresas 355-414. Población urbana y rural (solo del total): clasificación de los habitantes por distritos y por subdelegaciones y departamentos, según el sexo, edad, estado civil y grado de instrucción; mayores de 80 años; profesiones por departamentos y sexo; imposibilitados; extranjeros transeúntes, residentes y naturalizados (nacionalidad, sexo, estado civil, instrucción, edad y profesión).</t>
  </si>
  <si>
    <t>415</t>
  </si>
  <si>
    <t>Págs. impresas 415-462. Población urbana y rural (solo del total): clasificación de los habitantes por distritos y por subdelegaciones y departamentos, según el sexo, edad, estado civil y grado de instrucción; mayores de 80 años; profesiones por departamentos y sexo; imposibilitados; extranjeros transeúntes, residentes y naturalizados (nacionalidad, sexo, estado civil, instrucción, edad y profesión).</t>
  </si>
  <si>
    <t>463</t>
  </si>
  <si>
    <t>Págs. impresas 463-508. Población urbana y rural (solo del total): clasificación de los habitantes por distritos y por subdelegaciones y departamentos, según el sexo, edad, estado civil y grado de instrucción; mayores de 80 años; profesiones por departamentos y sexo; imposibilitados; extranjeros transeúntes, residentes y naturalizados (nacionalidad, sexo, estado civil, instrucción, edad y profesión).</t>
  </si>
  <si>
    <t>509</t>
  </si>
  <si>
    <t>Págs. impresas 509-558. Población urbana y rural (solo del total): clasificación de los habitantes por distritos y por subdelegaciones y departamentos, según el sexo, edad, estado civil y grado de instrucción; mayores de 80 años; profesiones por departamentos y sexo; imposibilitados; extranjeros transeúntes, residentes y naturalizados (nacionalidad, sexo, estado civil, instrucción, edad y profesión).</t>
  </si>
  <si>
    <t>559</t>
  </si>
  <si>
    <t>Págs. impresas 559-600. Población urbana y rural (solo del total): clasificación de los habitantes por distritos y por subdelegaciones y departamentos, según el sexo, edad, estado civil y grado de instrucción; mayores de 80 años; profesiones por departamentos y sexo; imposibilitados; extranjeros transeúntes, residentes y naturalizados (nacionalidad, sexo, estado civil, instrucción, edad y profesión).</t>
  </si>
  <si>
    <t>Cuadros generales</t>
  </si>
  <si>
    <t>Población urbana y rural. Clasificación de los habitantes por departamentos y provincias, según el sexo, edad, estado civil y grado de instrucción</t>
  </si>
  <si>
    <t>Págs. 602-605 (PDF 618-621; la pág. 601 es la portadilla de los cuadros generales). Departamento y provincia × sexo × 6 grupos de edad; urbana y rural solo del total. Transcrito en digitalizacion/1875/pub_1875_cg_edad.csv (sin estado civil ni instrucción).</t>
  </si>
  <si>
    <t>Población urbana y rural ... (columnas de población urbana, rural y total general)</t>
  </si>
  <si>
    <t>area</t>
  </si>
  <si>
    <t>Págs. 602 y 604 (PDF 618 y 620): urbana y rural solo para el total de ambos sexos, en el mismo cuadro que la entrada anterior. Transcrito en digitalizacion/1875/pub_1875_cg_area.csv.</t>
  </si>
  <si>
    <t>Edad fija de los individuos de 80 años hasta 142 inclusive, por departamentos y provincias</t>
  </si>
  <si>
    <t>606</t>
  </si>
  <si>
    <t>Proporción, por departamentos y provincias, entre los individuos que leen y escriben y la población</t>
  </si>
  <si>
    <t>614</t>
  </si>
  <si>
    <t>620</t>
  </si>
  <si>
    <t>Profesionales de toda la República, por provincias y departamentos, y su relación con la población; individuos imposibilitados física y moralmente</t>
  </si>
  <si>
    <t>622</t>
  </si>
  <si>
    <t>Extranjeros transeúntes, residentes y naturalizados existentes en la República, con especificación de la nacionalidad, edad y sexo</t>
  </si>
  <si>
    <t>624</t>
  </si>
  <si>
    <t>Extranjeros transeúntes, residentes y naturalizados existentes en la República, con especificación de la nacionalidad, sexo, estado civil y grado de instrucción</t>
  </si>
  <si>
    <t>625</t>
  </si>
  <si>
    <t>Profesiones de los extranjeros existentes en la República, con especificación de la nacionalidad y sexo</t>
  </si>
  <si>
    <t>626</t>
  </si>
  <si>
    <t>Población de las ciudades, villas, aldeas y lugarejos anotados en el censo de la República</t>
  </si>
  <si>
    <t>635</t>
  </si>
  <si>
    <t>Población eclesiástica por parroquias y su relación con la población civil</t>
  </si>
  <si>
    <t>639</t>
  </si>
  <si>
    <t>Cuadro sinóptico de los censos de la República levantados en 1835, 1843, 1854, 1865 y 1875</t>
  </si>
  <si>
    <t>645</t>
  </si>
  <si>
    <t>1835;1843;1854;1865;1875</t>
  </si>
  <si>
    <t>Págs. 645-646 (PDF 661-662). Transcrito en digitalizacion/1875/pub_1875_p645.csv (departamentos) y _prov.csv (provincias). Errata: Talca 1865 = 84 660 (es 84 630).</t>
  </si>
  <si>
    <t>Cuadros comparativos</t>
  </si>
  <si>
    <t>I. Administración. II. Instrucción. III. Beneficencia. IV. Industria y comercio</t>
  </si>
  <si>
    <t>647</t>
  </si>
  <si>
    <t>Págs. III-XIX y siguientes (romanas); en el PDF están desordenadas (PDF 3-12).</t>
  </si>
  <si>
    <t>Territorio de Magallanes</t>
  </si>
  <si>
    <t>Territorio de Magallanes: descripción y cuadros de la provincia</t>
  </si>
  <si>
    <t>1885</t>
  </si>
  <si>
    <t>Págs. impresas 1-9. Clasificación de los habitantes por distritos y por subdelegaciones y departamentos, según el sexo y la edad (con la población urbana y rural solo del total), según el sexo y estado civil, y según el sexo, grado de instrucción, asistencia a las escuelas y vacunados; individuos de 101 años y más; proporciones de alfabetos, asistencia escolar y vacunados.</t>
  </si>
  <si>
    <t>Págs. impresas 10-45. Clasificación de los habitantes por distritos y por subdelegaciones y departamentos, según el sexo y la edad (con la población urbana y rural solo del total), según el sexo y estado civil, y según el sexo, grado de instrucción, asistencia a las escuelas y vacunados; individuos de 101 años y más; proporciones de alfabetos, asistencia escolar y vacunados.</t>
  </si>
  <si>
    <t>46</t>
  </si>
  <si>
    <t>Págs. impresas 46-81. Clasificación de los habitantes por distritos y por subdelegaciones y departamentos, según el sexo y la edad (con la población urbana y rural solo del total), según el sexo y estado civil, y según el sexo, grado de instrucción, asistencia a las escuelas y vacunados; individuos de 101 años y más; proporciones de alfabetos, asistencia escolar y vacunados.</t>
  </si>
  <si>
    <t>82</t>
  </si>
  <si>
    <t>Págs. impresas 82-105. Clasificación de los habitantes por distritos y por subdelegaciones y departamentos, según el sexo y la edad (con la población urbana y rural solo del total), según el sexo y estado civil, y según el sexo, grado de instrucción, asistencia a las escuelas y vacunados; individuos de 101 años y más; proporciones de alfabetos, asistencia escolar y vacunados.</t>
  </si>
  <si>
    <t>106</t>
  </si>
  <si>
    <t>Págs. impresas 106-119. Clasificación de los habitantes por distritos y por subdelegaciones y departamentos, según el sexo y la edad (con la población urbana y rural solo del total), según el sexo y estado civil, y según el sexo, grado de instrucción, asistencia a las escuelas y vacunados; individuos de 101 años y más; proporciones de alfabetos, asistencia escolar y vacunados.</t>
  </si>
  <si>
    <t>120</t>
  </si>
  <si>
    <t>Págs. impresas 120-165. Clasificación de los habitantes por distritos y por subdelegaciones y departamentos, según el sexo y la edad (con la población urbana y rural solo del total), según el sexo y estado civil, y según el sexo, grado de instrucción, asistencia a las escuelas y vacunados; individuos de 101 años y más; proporciones de alfabetos, asistencia escolar y vacunados.</t>
  </si>
  <si>
    <t>166</t>
  </si>
  <si>
    <t>Págs. impresas 166-195. Clasificación de los habitantes por distritos y por subdelegaciones y departamentos, según el sexo y la edad (con la población urbana y rural solo del total), según el sexo y estado civil, y según el sexo, grado de instrucción, asistencia a las escuelas y vacunados; individuos de 101 años y más; proporciones de alfabetos, asistencia escolar y vacunados. La página de la descripción no se lee en el índice; se estima.</t>
  </si>
  <si>
    <t>196</t>
  </si>
  <si>
    <t>Págs. impresas 196-249. Clasificación de los habitantes por distritos y por subdelegaciones y departamentos, según el sexo y la edad (con la población urbana y rural solo del total), según el sexo y estado civil, y según el sexo, grado de instrucción, asistencia a las escuelas y vacunados; individuos de 101 años y más; proporciones de alfabetos, asistencia escolar y vacunados.</t>
  </si>
  <si>
    <t>250</t>
  </si>
  <si>
    <t>Págs. impresas 250-291. Clasificación de los habitantes por distritos y por subdelegaciones y departamentos, según el sexo y la edad (con la población urbana y rural solo del total), según el sexo y estado civil, y según el sexo, grado de instrucción, asistencia a las escuelas y vacunados; individuos de 101 años y más; proporciones de alfabetos, asistencia escolar y vacunados.</t>
  </si>
  <si>
    <t>292</t>
  </si>
  <si>
    <t>Págs. impresas 292-321. Clasificación de los habitantes por distritos y por subdelegaciones y departamentos, según el sexo y la edad (con la población urbana y rural solo del total), según el sexo y estado civil, y según el sexo, grado de instrucción, asistencia a las escuelas y vacunados; individuos de 101 años y más; proporciones de alfabetos, asistencia escolar y vacunados.</t>
  </si>
  <si>
    <t>322</t>
  </si>
  <si>
    <t>Págs. impresas 322-351. Clasificación de los habitantes por distritos y por subdelegaciones y departamentos, según el sexo y la edad (con la población urbana y rural solo del total), según el sexo y estado civil, y según el sexo, grado de instrucción, asistencia a las escuelas y vacunados; individuos de 101 años y más; proporciones de alfabetos, asistencia escolar y vacunados.</t>
  </si>
  <si>
    <t>Págs. impresas 352-387. Clasificación de los habitantes por distritos y por subdelegaciones y departamentos, según el sexo y la edad (con la población urbana y rural solo del total), según el sexo y estado civil, y según el sexo, grado de instrucción, asistencia a las escuelas y vacunados; individuos de 101 años y más; proporciones de alfabetos, asistencia escolar y vacunados.</t>
  </si>
  <si>
    <t>388</t>
  </si>
  <si>
    <t>Págs. impresas 388-411. Clasificación de los habitantes por distritos y por subdelegaciones y departamentos, según el sexo y la edad (con la población urbana y rural solo del total), según el sexo y estado civil, y según el sexo, grado de instrucción, asistencia a las escuelas y vacunados; individuos de 101 años y más; proporciones de alfabetos, asistencia escolar y vacunados.</t>
  </si>
  <si>
    <t>412</t>
  </si>
  <si>
    <t>Págs. impresas 412-447. Clasificación de los habitantes por distritos y por subdelegaciones y departamentos, según el sexo y la edad (con la población urbana y rural solo del total), según el sexo y estado civil, y según el sexo, grado de instrucción, asistencia a las escuelas y vacunados; individuos de 101 años y más; proporciones de alfabetos, asistencia escolar y vacunados.</t>
  </si>
  <si>
    <t>Provincia de O'Higgins</t>
  </si>
  <si>
    <t>Provincia de O'Higgins: descripción y cuadros de la provincia</t>
  </si>
  <si>
    <t>448</t>
  </si>
  <si>
    <t>Págs. impresas 448-471. Clasificación de los habitantes por distritos y por subdelegaciones y departamentos, según el sexo y la edad (con la población urbana y rural solo del total), según el sexo y estado civil, y según el sexo, grado de instrucción, asistencia a las escuelas y vacunados; individuos de 101 años y más; proporciones de alfabetos, asistencia escolar y vacunados.</t>
  </si>
  <si>
    <t>472</t>
  </si>
  <si>
    <t>Págs. impresas 472-545. Clasificación de los habitantes por distritos y por subdelegaciones y departamentos, según el sexo y la edad (con la población urbana y rural solo del total), según el sexo y estado civil, y según el sexo, grado de instrucción, asistencia a las escuelas y vacunados; individuos de 101 años y más; proporciones de alfabetos, asistencia escolar y vacunados.</t>
  </si>
  <si>
    <t>546</t>
  </si>
  <si>
    <t>Págs. impresas 546-599. Clasificación de los habitantes por distritos y por subdelegaciones y departamentos, según el sexo y la edad (con la población urbana y rural solo del total), según el sexo y estado civil, y según el sexo, grado de instrucción, asistencia a las escuelas y vacunados; individuos de 101 años y más; proporciones de alfabetos, asistencia escolar y vacunados.</t>
  </si>
  <si>
    <t>600</t>
  </si>
  <si>
    <t>Págs. impresas 600-665. Clasificación de los habitantes por distritos y por subdelegaciones y departamentos, según el sexo y la edad (con la población urbana y rural solo del total), según el sexo y estado civil, y según el sexo, grado de instrucción, asistencia a las escuelas y vacunados; individuos de 101 años y más; proporciones de alfabetos, asistencia escolar y vacunados.</t>
  </si>
  <si>
    <t>666</t>
  </si>
  <si>
    <t>Págs. impresas 666-737. Clasificación de los habitantes por distritos y por subdelegaciones y departamentos, según el sexo y la edad (con la población urbana y rural solo del total), según el sexo y estado civil, y según el sexo, grado de instrucción, asistencia a las escuelas y vacunados; individuos de 101 años y más; proporciones de alfabetos, asistencia escolar y vacunados.</t>
  </si>
  <si>
    <t>738</t>
  </si>
  <si>
    <t>Págs. impresas 738-785. Clasificación de los habitantes por distritos y por subdelegaciones y departamentos, según el sexo y la edad (con la población urbana y rural solo del total), según el sexo y estado civil, y según el sexo, grado de instrucción, asistencia a las escuelas y vacunados; individuos de 101 años y más; proporciones de alfabetos, asistencia escolar y vacunados.</t>
  </si>
  <si>
    <t>Territorio de Antofagasta</t>
  </si>
  <si>
    <t>Territorio de Antofagasta: descripción y cuadros de la provincia</t>
  </si>
  <si>
    <t>786</t>
  </si>
  <si>
    <t>Págs. impresas 786-801. Clasificación de los habitantes por distritos y por subdelegaciones y departamentos, según el sexo y la edad (con la población urbana y rural solo del total), según el sexo y estado civil, y según el sexo, grado de instrucción, asistencia a las escuelas y vacunados; individuos de 101 años y más; proporciones de alfabetos, asistencia escolar y vacunados.</t>
  </si>
  <si>
    <t>Provincia de Tarapacá</t>
  </si>
  <si>
    <t>Provincia de Tarapacá: descripción y cuadros de la provincia</t>
  </si>
  <si>
    <t>802</t>
  </si>
  <si>
    <t>Págs. impresas 802-819. Clasificación de los habitantes por distritos y por subdelegaciones y departamentos, según el sexo y la edad (con la población urbana y rural solo del total), según el sexo y estado civil, y según el sexo, grado de instrucción, asistencia a las escuelas y vacunados; individuos de 101 años y más; proporciones de alfabetos, asistencia escolar y vacunados.</t>
  </si>
  <si>
    <t>Provincia de Tacna</t>
  </si>
  <si>
    <t>Provincia de Tacna: descripción y cuadros de la provincia</t>
  </si>
  <si>
    <t>820</t>
  </si>
  <si>
    <t>Págs. impresas 820-838. Clasificación de los habitantes por distritos y por subdelegaciones y departamentos, según el sexo y la edad (con la población urbana y rural solo del total), según el sexo y estado civil, y según el sexo, grado de instrucción, asistencia a las escuelas y vacunados; individuos de 101 años y más; proporciones de alfabetos, asistencia escolar y vacunados.</t>
  </si>
  <si>
    <t>Clasificación de los habitantes por departamentos y provincias, según el sexo y la edad, desde un mes hasta cien años adelante. Población urbana y rural</t>
  </si>
  <si>
    <t>Págs. 839-846 (PDF 872-879; filas manchadas, leído en la copia de Memoria Chilena mc_1885_t1, PDF 871-878). Departamento y provincia × sexo × 26 grupos de edad; urbana y rural solo del total. Transcrito en digitalizacion/1885/pub_1885_cg_edad.csv y pub_1885_cg_area.csv.</t>
  </si>
  <si>
    <t>Clasificación de los habitantes ... Población urbana y rural (columnas de total general, población urbana y rural)</t>
  </si>
  <si>
    <t>842</t>
  </si>
  <si>
    <t>Págs. 842 y 846 (PDF 875 y 879): urbana y rural solo para el total de ambos sexos, en el mismo cuadro que la entrada anterior. Transcrito en digitalizacion/1885/pub_1885_cg_area.csv.</t>
  </si>
  <si>
    <t>Clasificación de los habitantes por departamentos y provincias, según el sexo y estado civil</t>
  </si>
  <si>
    <t>847</t>
  </si>
  <si>
    <t>Clasificación de los habitantes por departamentos y provincias, según el sexo, grado de instrucción, asistencia a las escuelas y vacunados</t>
  </si>
  <si>
    <t>849</t>
  </si>
  <si>
    <t>Edad fija de los individuos de 101 años a 150, por departamentos y provincias</t>
  </si>
  <si>
    <t>851</t>
  </si>
  <si>
    <t>Estado civil de los individuos de 101 años a 150, por departamentos y provincias</t>
  </si>
  <si>
    <t>857</t>
  </si>
  <si>
    <t>Proporción por provincias y departamentos de los individuos que leen y escriben con la población</t>
  </si>
  <si>
    <t>859</t>
  </si>
  <si>
    <t>Proporción, excluidos los menores de cinco años, por departamentos y provincias, de los individuos que leen y escriben con la población</t>
  </si>
  <si>
    <t>861</t>
  </si>
  <si>
    <t>Proporción, por departamentos y provincias, de los que asisten a las escuelas con la población</t>
  </si>
  <si>
    <t>863</t>
  </si>
  <si>
    <t>Proporción, por departamentos y provincias, de los vacunados con la población</t>
  </si>
  <si>
    <t>865</t>
  </si>
  <si>
    <t>Población de las ciudades, villas, aldeas, lugarejos, villorrios, caseríos y asientos mineros anotados en el censo de la República</t>
  </si>
  <si>
    <t>867</t>
  </si>
  <si>
    <t>Tomo I</t>
  </si>
  <si>
    <t>Nota al señor Ministro del Interior; introducción al censo (clasificación de profesiones)</t>
  </si>
  <si>
    <t>Tomo I, págs. III-XX aprox. (PDF 5-20).</t>
  </si>
  <si>
    <t>Tomo I - Provincia de Tarapacá</t>
  </si>
  <si>
    <t>Provincia de Tarapacá: introducción y cuadros de la provincia</t>
  </si>
  <si>
    <t>1895</t>
  </si>
  <si>
    <t>Tomo I, págs. impresas 3-92. Clasificación de los habitantes por distritos y por subdelegaciones, departamentos y total de la provincia, según el sexo y edad (con la población urbana y rural solo del total), según el sexo y estado civil, y según el sexo, grado de instrucción, asistencia a las escuelas y vacunados; profesiones por departamentos y sexo; imposibilidades físicas y morales; extranjeros por nacionalidad y sexo, estado civil, instrucción, edad y profesión (con resúmenes).</t>
  </si>
  <si>
    <t>Tomo I - Provincia de Antofagasta</t>
  </si>
  <si>
    <t>Provincia de Antofagasta: introducción y cuadros de la provincia</t>
  </si>
  <si>
    <t>93</t>
  </si>
  <si>
    <t>Tomo I, págs. impresas 93-182. Clasificación de los habitantes por distritos y por subdelegaciones, departamentos y total de la provincia, según el sexo y edad (con la población urbana y rural solo del total), según el sexo y estado civil, y según el sexo, grado de instrucción, asistencia a las escuelas y vacunados; profesiones por departamentos y sexo; imposibilidades físicas y morales; extranjeros por nacionalidad y sexo, estado civil, instrucción, edad y profesión (con resúmenes).</t>
  </si>
  <si>
    <t>Tomo I - Provincia de Atacama</t>
  </si>
  <si>
    <t>Provincia de Atacama: introducción y cuadros de la provincia</t>
  </si>
  <si>
    <t>183</t>
  </si>
  <si>
    <t>Tomo I, págs. impresas 183-294. Clasificación de los habitantes por distritos y por subdelegaciones, departamentos y total de la provincia, según el sexo y edad (con la población urbana y rural solo del total), según el sexo y estado civil, y según el sexo, grado de instrucción, asistencia a las escuelas y vacunados; profesiones por departamentos y sexo; imposibilidades físicas y morales; extranjeros por nacionalidad y sexo, estado civil, instrucción, edad y profesión (con resúmenes).</t>
  </si>
  <si>
    <t>Tomo I - Provincia de Coquimbo</t>
  </si>
  <si>
    <t>Provincia de Coquimbo: introducción y cuadros de la provincia</t>
  </si>
  <si>
    <t>295</t>
  </si>
  <si>
    <t>Tomo I, págs. impresas 295-454. Clasificación de los habitantes por distritos y por subdelegaciones, departamentos y total de la provincia, según el sexo y edad (con la población urbana y rural solo del total), según el sexo y estado civil, y según el sexo, grado de instrucción, asistencia a las escuelas y vacunados; profesiones por departamentos y sexo; imposibilidades físicas y morales; extranjeros por nacionalidad y sexo, estado civil, instrucción, edad y profesión (con resúmenes).</t>
  </si>
  <si>
    <t>Tomo I - Provincia de Aconcagua</t>
  </si>
  <si>
    <t>Provincia de Aconcagua: introducción y cuadros de la provincia</t>
  </si>
  <si>
    <t>455</t>
  </si>
  <si>
    <t>Tomo I, págs. impresas 455-591. Clasificación de los habitantes por distritos y por subdelegaciones, departamentos y total de la provincia, según el sexo y edad (con la población urbana y rural solo del total), según el sexo y estado civil, y según el sexo, grado de instrucción, asistencia a las escuelas y vacunados; profesiones por departamentos y sexo; imposibilidades físicas y morales; extranjeros por nacionalidad y sexo, estado civil, instrucción, edad y profesión (con resúmenes).</t>
  </si>
  <si>
    <t>Tomo II</t>
  </si>
  <si>
    <t>Nota al señor Ministro del Interior</t>
  </si>
  <si>
    <t>Tomo II, pág. VII.</t>
  </si>
  <si>
    <t>Tomo II - Provincia de Valparaíso</t>
  </si>
  <si>
    <t>Provincia de Valparaíso: introducción y cuadros de la provincia</t>
  </si>
  <si>
    <t>Tomo II, págs. impresas 3-178. Clasificación de los habitantes por distritos y por subdelegaciones, departamentos y total de la provincia, según el sexo y edad (con la población urbana y rural solo del total), según el sexo y estado civil, y según el sexo, grado de instrucción, asistencia a las escuelas y vacunados; profesiones por departamentos y sexo; imposibilidades físicas y morales; extranjeros por nacionalidad y sexo, estado civil, instrucción, edad y profesión (con resúmenes).</t>
  </si>
  <si>
    <t>Tomo II - Provincia de Santiago</t>
  </si>
  <si>
    <t>Provincia de Santiago: introducción y cuadros de la provincia</t>
  </si>
  <si>
    <t>179</t>
  </si>
  <si>
    <t>Tomo II, págs. impresas 179-378. Clasificación de los habitantes por distritos y por subdelegaciones, departamentos y total de la provincia, según el sexo y edad (con la población urbana y rural solo del total), según el sexo y estado civil, y según el sexo, grado de instrucción, asistencia a las escuelas y vacunados; profesiones por departamentos y sexo; imposibilidades físicas y morales; extranjeros por nacionalidad y sexo, estado civil, instrucción, edad y profesión (con resúmenes).</t>
  </si>
  <si>
    <t>Tomo II - Provincia de O'Higgins</t>
  </si>
  <si>
    <t>Provincia de O'Higgins: introducción y cuadros de la provincia</t>
  </si>
  <si>
    <t>379</t>
  </si>
  <si>
    <t>Tomo II, págs. impresas 379-470. Clasificación de los habitantes por distritos y por subdelegaciones, departamentos y total de la provincia, según el sexo y edad (con la población urbana y rural solo del total), según el sexo y estado civil, y según el sexo, grado de instrucción, asistencia a las escuelas y vacunados; profesiones por departamentos y sexo; imposibilidades físicas y morales; extranjeros por nacionalidad y sexo, estado civil, instrucción, edad y profesión (con resúmenes).</t>
  </si>
  <si>
    <t>Tomo II - Provincia de Colchagua</t>
  </si>
  <si>
    <t>Provincia de Colchagua: introducción y cuadros de la provincia</t>
  </si>
  <si>
    <t>471</t>
  </si>
  <si>
    <t>Tomo II, págs. impresas 471-556. Clasificación de los habitantes por distritos y por subdelegaciones, departamentos y total de la provincia, según el sexo y edad (con la población urbana y rural solo del total), según el sexo y estado civil, y según el sexo, grado de instrucción, asistencia a las escuelas y vacunados; profesiones por departamentos y sexo; imposibilidades físicas y morales; extranjeros por nacionalidad y sexo, estado civil, instrucción, edad y profesión (con resúmenes).</t>
  </si>
  <si>
    <t>Clasificación de los habitantes por subdelegaciones, según el sexo y edad, desde un mes hasta dos años (resumen por departamentos y total de la provincia)</t>
  </si>
  <si>
    <t>511</t>
  </si>
  <si>
    <t>Solo el resumen por departamentos de menores de 2 años, que el cuadro general del tomo IV imprime mal. Transcrito en digitalizacion/1895/pub_1895_colchagua_menores2.csv.</t>
  </si>
  <si>
    <t>Tomo II - Provincia de Curicó</t>
  </si>
  <si>
    <t>Provincia de Curicó: introducción y cuadros de la provincia</t>
  </si>
  <si>
    <t>557</t>
  </si>
  <si>
    <t>Tomo II, págs. impresas 557-634. Clasificación de los habitantes por distritos y por subdelegaciones, departamentos y total de la provincia, según el sexo y edad (con la población urbana y rural solo del total), según el sexo y estado civil, y según el sexo, grado de instrucción, asistencia a las escuelas y vacunados; profesiones por departamentos y sexo; imposibilidades físicas y morales; extranjeros por nacionalidad y sexo, estado civil, instrucción, edad y profesión (con resúmenes).</t>
  </si>
  <si>
    <t>Tomo II - Provincia de Talca</t>
  </si>
  <si>
    <t>Provincia de Talca: introducción y cuadros de la provincia</t>
  </si>
  <si>
    <t>Tomo II, págs. impresas 635-719. Clasificación de los habitantes por distritos y por subdelegaciones, departamentos y total de la provincia, según el sexo y edad (con la población urbana y rural solo del total), según el sexo y estado civil, y según el sexo, grado de instrucción, asistencia a las escuelas y vacunados; profesiones por departamentos y sexo; imposibilidades físicas y morales; extranjeros por nacionalidad y sexo, estado civil, instrucción, edad y profesión (con resúmenes).</t>
  </si>
  <si>
    <t>Tomo III</t>
  </si>
  <si>
    <t>Tomo III, pág. VII.</t>
  </si>
  <si>
    <t>Tomo III - Provincia de Linares</t>
  </si>
  <si>
    <t>Provincia de Linares: introducción y cuadros de la provincia</t>
  </si>
  <si>
    <t>Tomo III, págs. impresas 3-83. Clasificación de los habitantes por distritos y por subdelegaciones, departamentos y total de la provincia, según el sexo y edad (con la población urbana y rural solo del total), según el sexo y estado civil, y según el sexo, grado de instrucción, asistencia a las escuelas y vacunados; profesiones por departamentos y sexo; imposibilidades físicas y morales; extranjeros por nacionalidad y sexo, estado civil, instrucción, edad y profesión (con resúmenes).</t>
  </si>
  <si>
    <t>Tomo III - Provincia de Maule</t>
  </si>
  <si>
    <t>Provincia de Maule: introducción y cuadros de la provincia</t>
  </si>
  <si>
    <t>84</t>
  </si>
  <si>
    <t>Tomo III, págs. impresas 84-182. Clasificación de los habitantes por distritos y por subdelegaciones, departamentos y total de la provincia, según el sexo y edad (con la población urbana y rural solo del total), según el sexo y estado civil, y según el sexo, grado de instrucción, asistencia a las escuelas y vacunados; profesiones por departamentos y sexo; imposibilidades físicas y morales; extranjeros por nacionalidad y sexo, estado civil, instrucción, edad y profesión (con resúmenes).</t>
  </si>
  <si>
    <t>Tomo III - Provincia de Ñuble</t>
  </si>
  <si>
    <t>Provincia de Ñuble: introducción y cuadros de la provincia</t>
  </si>
  <si>
    <t>Tomo III, págs. impresas 183-303. Clasificación de los habitantes por distritos y por subdelegaciones, departamentos y total de la provincia, según el sexo y edad (con la población urbana y rural solo del total), según el sexo y estado civil, y según el sexo, grado de instrucción, asistencia a las escuelas y vacunados; profesiones por departamentos y sexo; imposibilidades físicas y morales; extranjeros por nacionalidad y sexo, estado civil, instrucción, edad y profesión (con resúmenes).</t>
  </si>
  <si>
    <t>Tomo III - Provincia de Concepción</t>
  </si>
  <si>
    <t>Provincia de Concepción: introducción y cuadros de la provincia</t>
  </si>
  <si>
    <t>304</t>
  </si>
  <si>
    <t>Tomo III, págs. impresas 304-462. Clasificación de los habitantes por distritos y por subdelegaciones, departamentos y total de la provincia, según el sexo y edad (con la población urbana y rural solo del total), según el sexo y estado civil, y según el sexo, grado de instrucción, asistencia a las escuelas y vacunados; profesiones por departamentos y sexo; imposibilidades físicas y morales; extranjeros por nacionalidad y sexo, estado civil, instrucción, edad y profesión (con resúmenes).</t>
  </si>
  <si>
    <t>Tomo III - Provincia de Arauco</t>
  </si>
  <si>
    <t>Provincia de Arauco: introducción y cuadros de la provincia</t>
  </si>
  <si>
    <t>Tomo III, págs. impresas 463-552. Clasificación de los habitantes por distritos y por subdelegaciones, departamentos y total de la provincia, según el sexo y edad (con la población urbana y rural solo del total), según el sexo y estado civil, y según el sexo, grado de instrucción, asistencia a las escuelas y vacunados; profesiones por departamentos y sexo; imposibilidades físicas y morales; extranjeros por nacionalidad y sexo, estado civil, instrucción, edad y profesión (con resúmenes).</t>
  </si>
  <si>
    <t>Tomo III - Provincia de Bío-Bío</t>
  </si>
  <si>
    <t>Provincia de Bío-Bío: introducción y cuadros de la provincia</t>
  </si>
  <si>
    <t>553</t>
  </si>
  <si>
    <t>Tomo III, págs. impresas 553-672. Clasificación de los habitantes por distritos y por subdelegaciones, departamentos y total de la provincia, según el sexo y edad (con la población urbana y rural solo del total), según el sexo y estado civil, y según el sexo, grado de instrucción, asistencia a las escuelas y vacunados; profesiones por departamentos y sexo; imposibilidades físicas y morales; extranjeros por nacionalidad y sexo, estado civil, instrucción, edad y profesión (con resúmenes).</t>
  </si>
  <si>
    <t>Tomo IV</t>
  </si>
  <si>
    <t>Tomo IV, pág. VII.</t>
  </si>
  <si>
    <t>Tomo IV - Provincia de Malleco</t>
  </si>
  <si>
    <t>Provincia de Malleco: introducción y cuadros de la provincia</t>
  </si>
  <si>
    <t>Tomo IV, págs. impresas 3-102. Clasificación de los habitantes por distritos y por subdelegaciones, departamentos y total de la provincia, según el sexo y edad (con la población urbana y rural solo del total), según el sexo y estado civil, y según el sexo, grado de instrucción, asistencia a las escuelas y vacunados; profesiones por departamentos y sexo; imposibilidades físicas y morales; extranjeros por nacionalidad y sexo, estado civil, instrucción, edad y profesión (con resúmenes).</t>
  </si>
  <si>
    <t>Tomo IV - Provincia de Cautín</t>
  </si>
  <si>
    <t>Provincia de Cautín: introducción y cuadros de la provincia</t>
  </si>
  <si>
    <t>Tomo IV, págs. impresas 103-162. Clasificación de los habitantes por distritos y por subdelegaciones, departamentos y total de la provincia, según el sexo y edad (con la población urbana y rural solo del total), según el sexo y estado civil, y según el sexo, grado de instrucción, asistencia a las escuelas y vacunados; profesiones por departamentos y sexo; imposibilidades físicas y morales; extranjeros por nacionalidad y sexo, estado civil, instrucción, edad y profesión (con resúmenes).</t>
  </si>
  <si>
    <t>Tomo IV - Provincia de Valdivia</t>
  </si>
  <si>
    <t>Provincia de Valdivia: introducción y cuadros de la provincia</t>
  </si>
  <si>
    <t>163</t>
  </si>
  <si>
    <t>Tomo IV, págs. impresas 163-238. Clasificación de los habitantes por distritos y por subdelegaciones, departamentos y total de la provincia, según el sexo y edad (con la población urbana y rural solo del total), según el sexo y estado civil, y según el sexo, grado de instrucción, asistencia a las escuelas y vacunados; profesiones por departamentos y sexo; imposibilidades físicas y morales; extranjeros por nacionalidad y sexo, estado civil, instrucción, edad y profesión (con resúmenes).</t>
  </si>
  <si>
    <t>Tomo IV - Provincia de Llanquihue</t>
  </si>
  <si>
    <t>Provincia de Llanquihue: introducción y cuadros de la provincia</t>
  </si>
  <si>
    <t>239</t>
  </si>
  <si>
    <t>Tomo IV, págs. impresas 239-330. Clasificación de los habitantes por distritos y por subdelegaciones, departamentos y total de la provincia, según el sexo y edad (con la población urbana y rural solo del total), según el sexo y estado civil, y según el sexo, grado de instrucción, asistencia a las escuelas y vacunados; profesiones por departamentos y sexo; imposibilidades físicas y morales; extranjeros por nacionalidad y sexo, estado civil, instrucción, edad y profesión (con resúmenes).</t>
  </si>
  <si>
    <t>Tomo IV - Provincia de Chiloé</t>
  </si>
  <si>
    <t>Provincia de Chiloé: introducción y cuadros de la provincia</t>
  </si>
  <si>
    <t>331</t>
  </si>
  <si>
    <t>Tomo IV, págs. impresas 331-416. Clasificación de los habitantes por distritos y por subdelegaciones, departamentos y total de la provincia, según el sexo y edad (con la población urbana y rural solo del total), según el sexo y estado civil, y según el sexo, grado de instrucción, asistencia a las escuelas y vacunados; profesiones por departamentos y sexo; imposibilidades físicas y morales; extranjeros por nacionalidad y sexo, estado civil, instrucción, edad y profesión (con resúmenes).</t>
  </si>
  <si>
    <t>Tomo IV - Territorio de Magallanes</t>
  </si>
  <si>
    <t>Territorio de Magallanes: introducción y cuadros de la provincia</t>
  </si>
  <si>
    <t>417</t>
  </si>
  <si>
    <t>Tomo IV, págs. impresas 417-448. Clasificación de los habitantes por distritos y por subdelegaciones, departamentos y total de la provincia, según el sexo y edad (con la población urbana y rural solo del total), según el sexo y estado civil, y según el sexo, grado de instrucción, asistencia a las escuelas y vacunados; profesiones por departamentos y sexo; imposibilidades físicas y morales; extranjeros por nacionalidad y sexo, estado civil, instrucción, edad y profesión (con resúmenes).</t>
  </si>
  <si>
    <t>Consideraciones generales</t>
  </si>
  <si>
    <t>449</t>
  </si>
  <si>
    <t>Tomo IV.</t>
  </si>
  <si>
    <t>Tomo IV - Cuadros generales</t>
  </si>
  <si>
    <t>Clasificación de los habitantes por departamentos y provincias, según el sexo y edad, desde un mes hasta cien años adelante. Población urbana y rural</t>
  </si>
  <si>
    <t>467</t>
  </si>
  <si>
    <t>Tomo IV, págs. 467-486 (PDF 2455-2474, escaneo de ~72 dpi; leído en la copia de Memoria Chilena MC0055464, PDF 463-482). Departamento y provincia × sexo × 26 grupos de edad; urbana y rural solo del total. Transcrito en digitalizacion/1895/pub_1895_cg_edad.csv y pub_1895_cg_area.csv. Las cifras de menores de 2 años de Colchagua repiten las de 2 a 25: ver pub_1895_colchagua_menores2 (tomo II, pág. 511).</t>
  </si>
  <si>
    <t>487</t>
  </si>
  <si>
    <t>491</t>
  </si>
  <si>
    <t>495</t>
  </si>
  <si>
    <t>Imposibilidades físicas y morales con especificación del sexo</t>
  </si>
  <si>
    <t>498</t>
  </si>
  <si>
    <t>Extranjeros transeúntes, residentes y naturalizados, con especificación de la nacionalidad y sexo</t>
  </si>
  <si>
    <t>499</t>
  </si>
  <si>
    <t>Extranjeros con especificación de la nacionalidad, sexo y estado civil</t>
  </si>
  <si>
    <t>501</t>
  </si>
  <si>
    <t>Extranjeros con especificación de la nacionalidad, sexo y grado de instrucción</t>
  </si>
  <si>
    <t>503</t>
  </si>
  <si>
    <t>Edades de extranjeros con especificación de la nacionalidad y sexo, desde un mes hasta cien años adelante</t>
  </si>
  <si>
    <t>505</t>
  </si>
  <si>
    <t>Extranjeros con especificación de la nacionalidad, profesión y sexo</t>
  </si>
  <si>
    <t>515</t>
  </si>
  <si>
    <t>Población de las ciudades, villas, aldeas, etc., anotadas en el censo de la República</t>
  </si>
  <si>
    <t>551</t>
  </si>
  <si>
    <t>Memoria presentada al Supremo Gobierno por la Comisión Central del Censo</t>
  </si>
  <si>
    <t>Págs. III-XXIII (romanas), PDF 2-20 aprox.</t>
  </si>
  <si>
    <t>Anexos: boletines e instrucciones del censo, carteles, gastos y personal empleado por provincias y departamentos</t>
  </si>
  <si>
    <t>Págs. XXIV-XLVII, PDF 21-43.</t>
  </si>
  <si>
    <t>Láminas: población por zonas 1854-1907, densidad, crecimiento de censo a censo 1843-1907, población urbana y rural, nacionalidad, religiones, instrucción, población escolar, estado civil, profesiones y propietarios</t>
  </si>
  <si>
    <t>Gráficos y mapas, PDF 44-67; sin cifras tabuladas.</t>
  </si>
  <si>
    <t>Tacna: reseña geográfica y cuadros por departamento y de la provincia</t>
  </si>
  <si>
    <t>1907</t>
  </si>
  <si>
    <t>area+sexo</t>
  </si>
  <si>
    <t>Págs. impresas 3-34. Reseña geográfica y departamentos: Tacna 7, Arica 17, resumen 27. Cuadros de cada departamento (y resumen de la provincia): 1. Población urbana y rural con distinción del sexo, por subdelegaciones y distritos; 2. Población de las ciudades, pueblos, aldeas, caseríos, fundos y minerales; 3. Nacionalidad con distinción del sexo; 4. Nacionalidad de los extranjeros, con distinción del sexo y de la población urbana y rural; 5. Religión con distinción del sexo y de la nacionalidad; 6. Grado de instrucción con distinción del sexo; 7. Edades; 8. Profesiones con distinción del sexo y de la nacionalidad; 9. Estado civil con distinción del sexo y de la edad; 10. Propietarios con relación a la nacionalidad y el sexo; 11. Defectos físicos con distinción del sexo (títulos de los cuadros 7 y siguientes leídos por OCR en Tacna).</t>
  </si>
  <si>
    <t>Tarapacá: reseña geográfica y cuadros por departamento y de la provincia</t>
  </si>
  <si>
    <t>35</t>
  </si>
  <si>
    <t>Págs. impresas 35-68. Reseña geográfica y departamentos: Tarapacá 39, Pisagua 51, resumen 61. Cuadros de cada departamento (y resumen de la provincia): 1. Población urbana y rural con distinción del sexo, por subdelegaciones y distritos; 2. Población de las ciudades, pueblos, aldeas, caseríos, fundos y minerales; 3. Nacionalidad con distinción del sexo; 4. Nacionalidad de los extranjeros, con distinción del sexo y de la población urbana y rural; 5. Religión con distinción del sexo y de la nacionalidad; 6. Grado de instrucción con distinción del sexo; 7. Edades; 8. Profesiones con distinción del sexo y de la nacionalidad; 9. Estado civil con distinción del sexo y de la edad; 10. Propietarios con relación a la nacionalidad y el sexo; 11. Defectos físicos con distinción del sexo (títulos de los cuadros 7 y siguientes leídos por OCR en Tacna).</t>
  </si>
  <si>
    <t>Provincia de Antofagasta</t>
  </si>
  <si>
    <t>Antofagasta: reseña geográfica y cuadros por departamento y de la provincia</t>
  </si>
  <si>
    <t>69</t>
  </si>
  <si>
    <t>Págs. impresas 69-114. Reseña geográfica y departamentos: Antofagasta 73, Tocopilla 85, Taltal 95, resumen 105. Cuadros de cada departamento (y resumen de la provincia): 1. Población urbana y rural con distinción del sexo, por subdelegaciones y distritos; 2. Población de las ciudades, pueblos, aldeas, caseríos, fundos y minerales; 3. Nacionalidad con distinción del sexo; 4. Nacionalidad de los extranjeros, con distinción del sexo y de la población urbana y rural; 5. Religión con distinción del sexo y de la nacionalidad; 6. Grado de instrucción con distinción del sexo; 7. Edades; 8. Profesiones con distinción del sexo y de la nacionalidad; 9. Estado civil con distinción del sexo y de la edad; 10. Propietarios con relación a la nacionalidad y el sexo; 11. Defectos físicos con distinción del sexo (títulos de los cuadros 7 y siguientes leídos por OCR en Tacna).</t>
  </si>
  <si>
    <t>Atacama: reseña geográfica y cuadros por departamento y de la provincia</t>
  </si>
  <si>
    <t>115</t>
  </si>
  <si>
    <t>Págs. impresas 115-174. Reseña geográfica y departamentos: Copiapó 119, Chañaral 133, Freirina 143, Vallenar 155, resumen 167. Cuadros de cada departamento (y resumen de la provincia): 1. Población urbana y rural con distinción del sexo, por subdelegaciones y distritos; 2. Población de las ciudades, pueblos, aldeas, caseríos, fundos y minerales; 3. Nacionalidad con distinción del sexo; 4. Nacionalidad de los extranjeros, con distinción del sexo y de la población urbana y rural; 5. Religión con distinción del sexo y de la nacionalidad; 6. Grado de instrucción con distinción del sexo; 7. Edades; 8. Profesiones con distinción del sexo y de la nacionalidad; 9. Estado civil con distinción del sexo y de la edad; 10. Propietarios con relación a la nacionalidad y el sexo; 11. Defectos físicos con distinción del sexo (títulos de los cuadros 7 y siguientes leídos por OCR en Tacna).</t>
  </si>
  <si>
    <t>Coquimbo: reseña geográfica y cuadros por departamento y de la provincia</t>
  </si>
  <si>
    <t>Págs. impresas 175-260. Reseña geográfica y departamentos: La Serena 179, Elqui 191, Coquimbo 201, Ovalle 211, Combarbalá 229, Illapel 239, resumen 251. Cuadros de cada departamento (y resumen de la provincia): 1. Población urbana y rural con distinción del sexo, por subdelegaciones y distritos; 2. Población de las ciudades, pueblos, aldeas, caseríos, fundos y minerales; 3. Nacionalidad con distinción del sexo; 4. Nacionalidad de los extranjeros, con distinción del sexo y de la población urbana y rural; 5. Religión con distinción del sexo y de la nacionalidad; 6. Grado de instrucción con distinción del sexo; 7. Edades; 8. Profesiones con distinción del sexo y de la nacionalidad; 9. Estado civil con distinción del sexo y de la edad; 10. Propietarios con relación a la nacionalidad y el sexo; 11. Defectos físicos con distinción del sexo (títulos de los cuadros 7 y siguientes leídos por OCR en Tacna).</t>
  </si>
  <si>
    <t>Aconcagua: reseña geográfica y cuadros por departamento y de la provincia</t>
  </si>
  <si>
    <t>261</t>
  </si>
  <si>
    <t>Págs. impresas 261-334. Reseña geográfica y departamentos: San Felipe 265, Petorca 279, La Ligua 293, Putaendo 303, Los Andes 313, resumen 325. Cuadros de cada departamento (y resumen de la provincia): 1. Población urbana y rural con distinción del sexo, por subdelegaciones y distritos; 2. Población de las ciudades, pueblos, aldeas, caseríos, fundos y minerales; 3. Nacionalidad con distinción del sexo; 4. Nacionalidad de los extranjeros, con distinción del sexo y de la población urbana y rural; 5. Religión con distinción del sexo y de la nacionalidad; 6. Grado de instrucción con distinción del sexo; 7. Edades; 8. Profesiones con distinción del sexo y de la nacionalidad; 9. Estado civil con distinción del sexo y de la edad; 10. Propietarios con relación a la nacionalidad y el sexo; 11. Defectos físicos con distinción del sexo (títulos de los cuadros 7 y siguientes leídos por OCR en Tacna).</t>
  </si>
  <si>
    <t>Valparaíso: reseña geográfica y cuadros por departamento y de la provincia</t>
  </si>
  <si>
    <t>335</t>
  </si>
  <si>
    <t>Págs. impresas 335-402. Reseña geográfica y departamentos: Valparaíso 339, Quillota 357, Limache 373, Casablanca 383, resumen 393. Cuadros de cada departamento (y resumen de la provincia): 1. Población urbana y rural con distinción del sexo, por subdelegaciones y distritos; 2. Población de las ciudades, pueblos, aldeas, caseríos, fundos y minerales; 3. Nacionalidad con distinción del sexo; 4. Nacionalidad de los extranjeros, con distinción del sexo y de la población urbana y rural; 5. Religión con distinción del sexo y de la nacionalidad; 6. Grado de instrucción con distinción del sexo; 7. Edades; 8. Profesiones con distinción del sexo y de la nacionalidad; 9. Estado civil con distinción del sexo y de la edad; 10. Propietarios con relación a la nacionalidad y el sexo; 11. Defectos físicos con distinción del sexo (títulos de los cuadros 7 y siguientes leídos por OCR en Tacna).</t>
  </si>
  <si>
    <t>Santiago: reseña geográfica y cuadros por departamento y de la provincia</t>
  </si>
  <si>
    <t>403</t>
  </si>
  <si>
    <t>Págs. impresas 403-476. Reseña geográfica y departamentos: Santiago 407, La Victoria 437, Melipilla 451, resumen 467. Cuadros de cada departamento (y resumen de la provincia): 1. Población urbana y rural con distinción del sexo, por subdelegaciones y distritos; 2. Población de las ciudades, pueblos, aldeas, caseríos, fundos y minerales; 3. Nacionalidad con distinción del sexo; 4. Nacionalidad de los extranjeros, con distinción del sexo y de la población urbana y rural; 5. Religión con distinción del sexo y de la nacionalidad; 6. Grado de instrucción con distinción del sexo; 7. Edades; 8. Profesiones con distinción del sexo y de la nacionalidad; 9. Estado civil con distinción del sexo y de la edad; 10. Propietarios con relación a la nacionalidad y el sexo; 11. Defectos físicos con distinción del sexo (títulos de los cuadros 7 y siguientes leídos por OCR en Tacna).</t>
  </si>
  <si>
    <t>O'Higgins: reseña geográfica y cuadros por departamento y de la provincia</t>
  </si>
  <si>
    <t>477</t>
  </si>
  <si>
    <t>Págs. impresas 477-524. Reseña geográfica y departamentos: Rancagua 481, Maipo 493, Cachapoal 505, resumen 515. Cuadros de cada departamento (y resumen de la provincia): 1. Población urbana y rural con distinción del sexo, por subdelegaciones y distritos; 2. Población de las ciudades, pueblos, aldeas, caseríos, fundos y minerales; 3. Nacionalidad con distinción del sexo; 4. Nacionalidad de los extranjeros, con distinción del sexo y de la población urbana y rural; 5. Religión con distinción del sexo y de la nacionalidad; 6. Grado de instrucción con distinción del sexo; 7. Edades; 8. Profesiones con distinción del sexo y de la nacionalidad; 9. Estado civil con distinción del sexo y de la edad; 10. Propietarios con relación a la nacionalidad y el sexo; 11. Defectos físicos con distinción del sexo (títulos de los cuadros 7 y siguientes leídos por OCR en Tacna).</t>
  </si>
  <si>
    <t>Colchagua: reseña geográfica y cuadros por departamento y de la provincia</t>
  </si>
  <si>
    <t>525</t>
  </si>
  <si>
    <t>Págs. impresas 525-570. Reseña geográfica y departamentos: San Fernando 529, Caupolicán 547, resumen 561. Cuadros de cada departamento (y resumen de la provincia): 1. Población urbana y rural con distinción del sexo, por subdelegaciones y distritos; 2. Población de las ciudades, pueblos, aldeas, caseríos, fundos y minerales; 3. Nacionalidad con distinción del sexo; 4. Nacionalidad de los extranjeros, con distinción del sexo y de la población urbana y rural; 5. Religión con distinción del sexo y de la nacionalidad; 6. Grado de instrucción con distinción del sexo; 7. Edades; 8. Profesiones con distinción del sexo y de la nacionalidad; 9. Estado civil con distinción del sexo y de la edad; 10. Propietarios con relación a la nacionalidad y el sexo; 11. Defectos físicos con distinción del sexo (títulos de los cuadros 7 y siguientes leídos por OCR en Tacna).</t>
  </si>
  <si>
    <t>Curicó: reseña geográfica y cuadros por departamento y de la provincia</t>
  </si>
  <si>
    <t>571</t>
  </si>
  <si>
    <t>Págs. impresas 571-618. Reseña geográfica y departamentos: Curicó 575, Santa Cruz 589, Vichuquén 599, resumen 609. Cuadros de cada departamento (y resumen de la provincia): 1. Población urbana y rural con distinción del sexo, por subdelegaciones y distritos; 2. Población de las ciudades, pueblos, aldeas, caseríos, fundos y minerales; 3. Nacionalidad con distinción del sexo; 4. Nacionalidad de los extranjeros, con distinción del sexo y de la población urbana y rural; 5. Religión con distinción del sexo y de la nacionalidad; 6. Grado de instrucción con distinción del sexo; 7. Edades; 8. Profesiones con distinción del sexo y de la nacionalidad; 9. Estado civil con distinción del sexo y de la edad; 10. Propietarios con relación a la nacionalidad y el sexo; 11. Defectos físicos con distinción del sexo (títulos de los cuadros 7 y siguientes leídos por OCR en Tacna).</t>
  </si>
  <si>
    <t>Talca: reseña geográfica y cuadros por departamento y de la provincia</t>
  </si>
  <si>
    <t>619</t>
  </si>
  <si>
    <t>Págs. impresas 619-668. Reseña geográfica y departamentos: Talca 623, Lontué 639, Curepto 649, resumen 659. Cuadros de cada departamento (y resumen de la provincia): 1. Población urbana y rural con distinción del sexo, por subdelegaciones y distritos; 2. Población de las ciudades, pueblos, aldeas, caseríos, fundos y minerales; 3. Nacionalidad con distinción del sexo; 4. Nacionalidad de los extranjeros, con distinción del sexo y de la población urbana y rural; 5. Religión con distinción del sexo y de la nacionalidad; 6. Grado de instrucción con distinción del sexo; 7. Edades; 8. Profesiones con distinción del sexo y de la nacionalidad; 9. Estado civil con distinción del sexo y de la edad; 10. Propietarios con relación a la nacionalidad y el sexo; 11. Defectos físicos con distinción del sexo (títulos de los cuadros 7 y siguientes leídos por OCR en Tacna).</t>
  </si>
  <si>
    <t>Linares: reseña geográfica y cuadros por departamento y de la provincia</t>
  </si>
  <si>
    <t>669</t>
  </si>
  <si>
    <t>Págs. impresas 669-718. Reseña geográfica y departamentos: Linares 673, Loncomilla 687, Parral 697, resumen 709. Cuadros de cada departamento (y resumen de la provincia): 1. Población urbana y rural con distinción del sexo, por subdelegaciones y distritos; 2. Población de las ciudades, pueblos, aldeas, caseríos, fundos y minerales; 3. Nacionalidad con distinción del sexo; 4. Nacionalidad de los extranjeros, con distinción del sexo y de la población urbana y rural; 5. Religión con distinción del sexo y de la nacionalidad; 6. Grado de instrucción con distinción del sexo; 7. Edades; 8. Profesiones con distinción del sexo y de la nacionalidad; 9. Estado civil con distinción del sexo y de la edad; 10. Propietarios con relación a la nacionalidad y el sexo; 11. Defectos físicos con distinción del sexo (títulos de los cuadros 7 y siguientes leídos por OCR en Tacna).</t>
  </si>
  <si>
    <t>Maule: reseña geográfica y cuadros por departamento y de la provincia</t>
  </si>
  <si>
    <t>719</t>
  </si>
  <si>
    <t>Págs. impresas 719-778. Reseña geográfica y departamentos: Cauquenes 723, Constitución 735, Chanco 747, Itata 755, resumen 769. Cuadros de cada departamento (y resumen de la provincia): 1. Población urbana y rural con distinción del sexo, por subdelegaciones y distritos; 2. Población de las ciudades, pueblos, aldeas, caseríos, fundos y minerales; 3. Nacionalidad con distinción del sexo; 4. Nacionalidad de los extranjeros, con distinción del sexo y de la población urbana y rural; 5. Religión con distinción del sexo y de la nacionalidad; 6. Grado de instrucción con distinción del sexo; 7. Edades; 8. Profesiones con distinción del sexo y de la nacionalidad; 9. Estado civil con distinción del sexo y de la edad; 10. Propietarios con relación a la nacionalidad y el sexo; 11. Defectos físicos con distinción del sexo (títulos de los cuadros 7 y siguientes leídos por OCR en Tacna).</t>
  </si>
  <si>
    <t>Ñuble: reseña geográfica y cuadros por departamento y de la provincia</t>
  </si>
  <si>
    <t>779</t>
  </si>
  <si>
    <t>Págs. impresas 779-840. Reseña geográfica y departamentos: Chillán 783, San Carlos 797, Bulnes y Yungai (páginas ilegibles en el índice), resumen 831. Cuadros de cada departamento (y resumen de la provincia): 1. Población urbana y rural con distinción del sexo, por subdelegaciones y distritos; 2. Población de las ciudades, pueblos, aldeas, caseríos, fundos y minerales; 3. Nacionalidad con distinción del sexo; 4. Nacionalidad de los extranjeros, con distinción del sexo y de la población urbana y rural; 5. Religión con distinción del sexo y de la nacionalidad; 6. Grado de instrucción con distinción del sexo; 7. Edades; 8. Profesiones con distinción del sexo y de la nacionalidad; 9. Estado civil con distinción del sexo y de la edad; 10. Propietarios con relación a la nacionalidad y el sexo; 11. Defectos físicos con distinción del sexo (títulos de los cuadros 7 y siguientes leídos por OCR en Tacna).</t>
  </si>
  <si>
    <t>Concepción: reseña geográfica y cuadros por departamento y de la provincia</t>
  </si>
  <si>
    <t>841</t>
  </si>
  <si>
    <t>Págs. impresas 841-916. Reseña geográfica y departamentos: Concepción 845, Talcahuano 857, Coelemu 865, Puchacai 877, Rere 885, Lautaro 897, resumen 907. Cuadros de cada departamento (y resumen de la provincia): 1. Población urbana y rural con distinción del sexo, por subdelegaciones y distritos; 2. Población de las ciudades, pueblos, aldeas, caseríos, fundos y minerales; 3. Nacionalidad con distinción del sexo; 4. Nacionalidad de los extranjeros, con distinción del sexo y de la población urbana y rural; 5. Religión con distinción del sexo y de la nacionalidad; 6. Grado de instrucción con distinción del sexo; 7. Edades; 8. Profesiones con distinción del sexo y de la nacionalidad; 9. Estado civil con distinción del sexo y de la edad; 10. Propietarios con relación a la nacionalidad y el sexo; 11. Defectos físicos con distinción del sexo (títulos de los cuadros 7 y siguientes leídos por OCR en Tacna).</t>
  </si>
  <si>
    <t>Arauco: reseña geográfica y cuadros por departamento y de la provincia</t>
  </si>
  <si>
    <t>917</t>
  </si>
  <si>
    <t>Págs. impresas 917-962. Reseña geográfica y departamentos: Lebu, Arauco 931, Cañete y resumen (páginas en parte ilegibles en el índice). Cuadros de cada departamento (y resumen de la provincia): 1. Población urbana y rural con distinción del sexo, por subdelegaciones y distritos; 2. Población de las ciudades, pueblos, aldeas, caseríos, fundos y minerales; 3. Nacionalidad con distinción del sexo; 4. Nacionalidad de los extranjeros, con distinción del sexo y de la población urbana y rural; 5. Religión con distinción del sexo y de la nacionalidad; 6. Grado de instrucción con distinción del sexo; 7. Edades; 8. Profesiones con distinción del sexo y de la nacionalidad; 9. Estado civil con distinción del sexo y de la edad; 10. Propietarios con relación a la nacionalidad y el sexo; 11. Defectos físicos con distinción del sexo (títulos de los cuadros 7 y siguientes leídos por OCR en Tacna).</t>
  </si>
  <si>
    <t>Bío-Bío: reseña geográfica y cuadros por departamento y de la provincia</t>
  </si>
  <si>
    <t>963</t>
  </si>
  <si>
    <t>Págs. impresas 963-1014. Reseña geográfica y departamentos: La Laja 967, Nacimiento, Mulchén y resumen (páginas ilegibles en el índice; inicio estimado). Cuadros de cada departamento (y resumen de la provincia): 1. Población urbana y rural con distinción del sexo, por subdelegaciones y distritos; 2. Población de las ciudades, pueblos, aldeas, caseríos, fundos y minerales; 3. Nacionalidad con distinción del sexo; 4. Nacionalidad de los extranjeros, con distinción del sexo y de la población urbana y rural; 5. Religión con distinción del sexo y de la nacionalidad; 6. Grado de instrucción con distinción del sexo; 7. Edades; 8. Profesiones con distinción del sexo y de la nacionalidad; 9. Estado civil con distinción del sexo y de la edad; 10. Propietarios con relación a la nacionalidad y el sexo; 11. Defectos físicos con distinción del sexo (títulos de los cuadros 7 y siguientes leídos por OCR en Tacna).</t>
  </si>
  <si>
    <t>Provincia de Malleco</t>
  </si>
  <si>
    <t>Malleco: reseña geográfica y cuadros por departamento y de la provincia</t>
  </si>
  <si>
    <t>1015</t>
  </si>
  <si>
    <t>Págs. impresas 1015-1070. Reseña geográfica y departamentos: Angol 1019, Collipulli 1031, Traiguén 1041, Mariluán 1051, resumen 1061. Cuadros de cada departamento (y resumen de la provincia): 1. Población urbana y rural con distinción del sexo, por subdelegaciones y distritos; 2. Población de las ciudades, pueblos, aldeas, caseríos, fundos y minerales; 3. Nacionalidad con distinción del sexo; 4. Nacionalidad de los extranjeros, con distinción del sexo y de la población urbana y rural; 5. Religión con distinción del sexo y de la nacionalidad; 6. Grado de instrucción con distinción del sexo; 7. Edades; 8. Profesiones con distinción del sexo y de la nacionalidad; 9. Estado civil con distinción del sexo y de la edad; 10. Propietarios con relación a la nacionalidad y el sexo; 11. Defectos físicos con distinción del sexo (títulos de los cuadros 7 y siguientes leídos por OCR en Tacna).</t>
  </si>
  <si>
    <t>Provincia de Cautín</t>
  </si>
  <si>
    <t>Cautín: reseña geográfica y cuadros por departamento y de la provincia</t>
  </si>
  <si>
    <t>1071</t>
  </si>
  <si>
    <t>Págs. impresas 1071-1112. Reseña geográfica y departamentos: Temuco 1075, Llaima 1085, Imperial 1093, resumen 1103. Cuadros de cada departamento (y resumen de la provincia): 1. Población urbana y rural con distinción del sexo, por subdelegaciones y distritos; 2. Población de las ciudades, pueblos, aldeas, caseríos, fundos y minerales; 3. Nacionalidad con distinción del sexo; 4. Nacionalidad de los extranjeros, con distinción del sexo y de la población urbana y rural; 5. Religión con distinción del sexo y de la nacionalidad; 6. Grado de instrucción con distinción del sexo; 7. Edades; 8. Profesiones con distinción del sexo y de la nacionalidad; 9. Estado civil con distinción del sexo y de la edad; 10. Propietarios con relación a la nacionalidad y el sexo; 11. Defectos físicos con distinción del sexo (títulos de los cuadros 7 y siguientes leídos por OCR en Tacna).</t>
  </si>
  <si>
    <t>Valdivia: reseña geográfica y cuadros por departamento y de la provincia</t>
  </si>
  <si>
    <t>1113</t>
  </si>
  <si>
    <t>Págs. impresas 1113-1150. Reseña geográfica y departamentos: Valdivia 1117, La Unión 1131, resumen 1143. Cuadros de cada departamento (y resumen de la provincia): 1. Población urbana y rural con distinción del sexo, por subdelegaciones y distritos; 2. Población de las ciudades, pueblos, aldeas, caseríos, fundos y minerales; 3. Nacionalidad con distinción del sexo; 4. Nacionalidad de los extranjeros, con distinción del sexo y de la población urbana y rural; 5. Religión con distinción del sexo y de la nacionalidad; 6. Grado de instrucción con distinción del sexo; 7. Edades; 8. Profesiones con distinción del sexo y de la nacionalidad; 9. Estado civil con distinción del sexo y de la edad; 10. Propietarios con relación a la nacionalidad y el sexo; 11. Defectos físicos con distinción del sexo (títulos de los cuadros 7 y siguientes leídos por OCR en Tacna).</t>
  </si>
  <si>
    <t>Llanquihue: reseña geográfica y cuadros por departamento y de la provincia</t>
  </si>
  <si>
    <t>1151</t>
  </si>
  <si>
    <t>Págs. impresas 1151-1198. Reseña geográfica y departamentos: Llanquihue 1155, Osorno 1165, Carelmapu 1177, resumen 1189. Cuadros de cada departamento (y resumen de la provincia): 1. Población urbana y rural con distinción del sexo, por subdelegaciones y distritos; 2. Población de las ciudades, pueblos, aldeas, caseríos, fundos y minerales; 3. Nacionalidad con distinción del sexo; 4. Nacionalidad de los extranjeros, con distinción del sexo y de la población urbana y rural; 5. Religión con distinción del sexo y de la nacionalidad; 6. Grado de instrucción con distinción del sexo; 7. Edades; 8. Profesiones con distinción del sexo y de la nacionalidad; 9. Estado civil con distinción del sexo y de la edad; 10. Propietarios con relación a la nacionalidad y el sexo; 11. Defectos físicos con distinción del sexo (títulos de los cuadros 7 y siguientes leídos por OCR en Tacna).</t>
  </si>
  <si>
    <t>Chiloé: reseña geográfica y cuadros por departamento y de la provincia</t>
  </si>
  <si>
    <t>1199</t>
  </si>
  <si>
    <t>Págs. impresas 1199-1244. Reseña geográfica y departamentos: Ancud 1203, Castro 1215, Quinchao 1227, resumen 1235. Cuadros de cada departamento (y resumen de la provincia): 1. Población urbana y rural con distinción del sexo, por subdelegaciones y distritos; 2. Población de las ciudades, pueblos, aldeas, caseríos, fundos y minerales; 3. Nacionalidad con distinción del sexo; 4. Nacionalidad de los extranjeros, con distinción del sexo y de la población urbana y rural; 5. Religión con distinción del sexo y de la nacionalidad; 6. Grado de instrucción con distinción del sexo; 7. Edades; 8. Profesiones con distinción del sexo y de la nacionalidad; 9. Estado civil con distinción del sexo y de la edad; 10. Propietarios con relación a la nacionalidad y el sexo; 11. Defectos físicos con distinción del sexo (títulos de los cuadros 7 y siguientes leídos por OCR en Tacna).</t>
  </si>
  <si>
    <t>Territorio de Magallanes: reseña geográfica y cuadros por departamento y de la provincia</t>
  </si>
  <si>
    <t>1245</t>
  </si>
  <si>
    <t>Págs. impresas 1245-1260. Reseña geográfica y departamentos: Territorio de Magallanes 1249. Cuadros de cada departamento (y resumen de la provincia): 1. Población urbana y rural con distinción del sexo, por subdelegaciones y distritos; 2. Población de las ciudades, pueblos, aldeas, caseríos, fundos y minerales; 3. Nacionalidad con distinción del sexo; 4. Nacionalidad de los extranjeros, con distinción del sexo y de la población urbana y rural; 5. Religión con distinción del sexo y de la nacionalidad; 6. Grado de instrucción con distinción del sexo; 7. Edades; 8. Profesiones con distinción del sexo y de la nacionalidad; 9. Estado civil con distinción del sexo y de la edad; 10. Propietarios con relación a la nacionalidad y el sexo; 11. Defectos físicos con distinción del sexo (títulos de los cuadros 7 y siguientes leídos por OCR en Tacna).</t>
  </si>
  <si>
    <t>Cuadros por departamento</t>
  </si>
  <si>
    <t>Población urbana i rural con distinción del sexo, por departamentos (resumen de cada provincia)</t>
  </si>
  <si>
    <t>27</t>
  </si>
  <si>
    <t>Primer cuadro del resumen de cada provincia (PDF 91-1211; páginas en el YAML). Transcrito en digitalizacion/1907/pub_1907_c1.csv. El detalle por subdelegación y distrito está en el cuadro 1 de cada departamento.</t>
  </si>
  <si>
    <t>Grado de instrucción con distinción de la edad i del sexo (cada departamento y Magallanes)</t>
  </si>
  <si>
    <t>Un cuadro por departamento dentro de cada bloque provincial (PDF 78-1215; páginas en el YAML). Columnas de total transcritas en digitalizacion/1907/pub_1907_c7.csv.</t>
  </si>
  <si>
    <t>Resumen general</t>
  </si>
  <si>
    <t>Resumen general de la República</t>
  </si>
  <si>
    <t>1261</t>
  </si>
  <si>
    <t>Págs. impresas 1261-1308; cuadros por provincia de la República (incluye defectos físicos con distinción del sexo, pág. 1307).</t>
  </si>
  <si>
    <t>Censo de los indios araucanos</t>
  </si>
  <si>
    <t>Censo de los indios araucanos por provincia, departamento y subdelegación</t>
  </si>
  <si>
    <t>1309</t>
  </si>
  <si>
    <t>Págs. impresas 1309-1315 (Arauco, Bío-Bío, Malleco, Cautín, Valdivia...).</t>
  </si>
  <si>
    <t>Fe de erratas</t>
  </si>
  <si>
    <t>1316</t>
  </si>
  <si>
    <t>Aumento de la población de censo a censo, por provincias</t>
  </si>
  <si>
    <t>1263</t>
  </si>
  <si>
    <t>1854;1865;1875;1885;1895;1907</t>
  </si>
  <si>
    <t>Población de 1854, 1865, 1875, 1885, 1895 y 1907 y porcentaje de aumento anual.</t>
  </si>
  <si>
    <t>Aumento de la población de censo a censo, por departamentos</t>
  </si>
  <si>
    <t>Introducción</t>
  </si>
  <si>
    <t>Introducción (organización del censo, instrucciones, clasificación de profesiones)</t>
  </si>
  <si>
    <t>Págs. romanas; en el PDF están incompletas y desordenadas (PDF 2-15).</t>
  </si>
  <si>
    <t>Capítulo I. Población</t>
  </si>
  <si>
    <t>Población según los censos de 1865 a 1920 y porcentaje de aumento o disminución anual, por departamentos y provincias</t>
  </si>
  <si>
    <t>1865;1875;1885;1895;1907;1920</t>
  </si>
  <si>
    <t>PDF 16-17. Transcrito en digitalizacion/1920/pub_1920_c01.csv (sin columnas de %).</t>
  </si>
  <si>
    <t>Densidad de la población por kilómetro cuadrado desde 1865 hasta 1920, por provincias</t>
  </si>
  <si>
    <t>Población urbana y rural según los censos de 1895 a 1920 y porcentaje de población urbana, por departamentos y provincias</t>
  </si>
  <si>
    <t>1895;1907;1920</t>
  </si>
  <si>
    <t>PDF 19-20. Transcrito en digitalizacion/1920/pub_1920_c03.csv (sin columnas de %).</t>
  </si>
  <si>
    <t>Población urbana y rural con distinción del sexo en 1920, por departamentos y provincias</t>
  </si>
  <si>
    <t>1920</t>
  </si>
  <si>
    <t>PDF 21-22. Transcrito en digitalizacion/1920/pub_1920_c04.csv.</t>
  </si>
  <si>
    <t>Población urbana y rural en 1920, por distritos, subdelegaciones y comunas</t>
  </si>
  <si>
    <t>8</t>
  </si>
  <si>
    <t>Inicio estimado (sigue al cuadro 4); se extiende hasta la pág. 104.</t>
  </si>
  <si>
    <t>Población de las ciudades de más de 5.000 habitantes, desde 1854 hasta 1920, y porcentaje de aumento o disminución anual</t>
  </si>
  <si>
    <t>104</t>
  </si>
  <si>
    <t>Población de las ciudades, con distinción del sexo, por comunas</t>
  </si>
  <si>
    <t>105</t>
  </si>
  <si>
    <t>Págs. 105-230. Número de cuadro no verificado.</t>
  </si>
  <si>
    <t>Capítulo II. Estado civil</t>
  </si>
  <si>
    <t>Estado civil de la población (capítulo)</t>
  </si>
  <si>
    <t>231</t>
  </si>
  <si>
    <t>Portada del capítulo; título del cuadro 1 no verificado.</t>
  </si>
  <si>
    <t>Estado civil de los habitantes en 1920, con distinción del sexo, por departamentos y provincias</t>
  </si>
  <si>
    <t>232</t>
  </si>
  <si>
    <t>Estado civil de la población desde 1895 hasta 1920</t>
  </si>
  <si>
    <t>234</t>
  </si>
  <si>
    <t>Título leído por OCR; no verificado.</t>
  </si>
  <si>
    <t>Estado civil de los habitantes en 1920, con distinción de la edad y del sexo, por departamentos</t>
  </si>
  <si>
    <t>Págs. 234-275 (PDF 249-290). Columnas de total transcritas en digitalizacion/1920/pub_1920_ec_edad.csv.</t>
  </si>
  <si>
    <t>Capítulo III. Nacionalidad</t>
  </si>
  <si>
    <t>Nacionalidad de la población extranjera desde 1854 hasta 1920</t>
  </si>
  <si>
    <t>276</t>
  </si>
  <si>
    <t>Población chilena y extranjera con distinción del sexo, en 1920</t>
  </si>
  <si>
    <t>282</t>
  </si>
  <si>
    <t>Título leído por OCR.</t>
  </si>
  <si>
    <t>Nacionalidad de los extranjeros por sexo, en 1920</t>
  </si>
  <si>
    <t>294</t>
  </si>
  <si>
    <t>Inicio estimado; se extiende hasta la pág. 302.</t>
  </si>
  <si>
    <t>Capítulo IV. Instrucción</t>
  </si>
  <si>
    <t>Instrucción de los habitantes según los censos de 1885 a 1920, y porcentaje de alfabetos por provincias</t>
  </si>
  <si>
    <t>303</t>
  </si>
  <si>
    <t>Instrucción de los habitantes, por sexos, desde 1854 hasta 1920 y porcentaje de alfabetos</t>
  </si>
  <si>
    <t>Instrucción de los habitantes en 1920, clasificados por edades y sexo</t>
  </si>
  <si>
    <t>307</t>
  </si>
  <si>
    <t>Págs. 307-347.</t>
  </si>
  <si>
    <t>Instrucción de los habitantes por departamentos, comunas y subdelegaciones</t>
  </si>
  <si>
    <t>348</t>
  </si>
  <si>
    <t>Págs. 348-377.</t>
  </si>
  <si>
    <t>Instrucción de los niños de edad escolar (6-14) por departamentos, comunas y subdelegaciones</t>
  </si>
  <si>
    <t>378</t>
  </si>
  <si>
    <t>Págs. 378-405 aprox.</t>
  </si>
  <si>
    <t>Capítulo V. Profesión</t>
  </si>
  <si>
    <t>Profesión de los habitantes, en 1920 (chilenos y extranjeros, por sexo)</t>
  </si>
  <si>
    <t>406</t>
  </si>
  <si>
    <t>Inicio estimado; págs. hasta 572.</t>
  </si>
  <si>
    <t>Capítulo VI. Religión</t>
  </si>
  <si>
    <t>Credo religioso de los habitantes, en 1920, por departamento</t>
  </si>
  <si>
    <t>573</t>
  </si>
  <si>
    <t>Portada del capítulo en pág. 573; cuadros hasta pág. 586.</t>
  </si>
  <si>
    <t>Capítulo VII. Terratenientes</t>
  </si>
  <si>
    <t>Número y porcentaje de propietarios de bienes raíces en 1907 y 1920, con distinción de la nacionalidad, por provincias</t>
  </si>
  <si>
    <t>587</t>
  </si>
  <si>
    <t>Número y porcentaje de propietarios de bienes raíces en 1920 con distinción del sexo y de la nacionalidad, por departamentos y provincias</t>
  </si>
  <si>
    <t>588</t>
  </si>
  <si>
    <t>Capítulo VIII. Defectos físicos</t>
  </si>
  <si>
    <t>Defectos físicos de los habitantes, con distinción del sexo y de la instrucción</t>
  </si>
  <si>
    <t>597</t>
  </si>
  <si>
    <t>Inicio estimado; págs. hasta 602.</t>
  </si>
  <si>
    <t>Capítulo IX. Censo de araucanos</t>
  </si>
  <si>
    <t>Población araucana en 1907 y 1920, con distinción del sexo</t>
  </si>
  <si>
    <t>603</t>
  </si>
  <si>
    <t>Población araucana en 1920, con distinción del sexo, por departamentos, comunas, subdelegaciones y distritos</t>
  </si>
  <si>
    <t>604</t>
  </si>
  <si>
    <t>El cuadro 2 está en la pág. 603 o 604 (no verificado).</t>
  </si>
  <si>
    <t>I Parte</t>
  </si>
  <si>
    <t>A</t>
  </si>
  <si>
    <t>Introducción (Informe presentado al señor Contralor General de la República por el Director General de Estadística)</t>
  </si>
  <si>
    <t>B</t>
  </si>
  <si>
    <t>Oficio N° 13949 del señor Contralor General de la República al Director General de Estadística</t>
  </si>
  <si>
    <t>15</t>
  </si>
  <si>
    <t>C</t>
  </si>
  <si>
    <t>Decreto con fuerza de Ley N° 115 que aprueba los resultados del Censo</t>
  </si>
  <si>
    <t>16</t>
  </si>
  <si>
    <t>II Parte</t>
  </si>
  <si>
    <t>D</t>
  </si>
  <si>
    <t>Comisión organizadora</t>
  </si>
  <si>
    <t>E</t>
  </si>
  <si>
    <t>Instrucciones preliminares</t>
  </si>
  <si>
    <t>F</t>
  </si>
  <si>
    <t>Reglamento</t>
  </si>
  <si>
    <t>24</t>
  </si>
  <si>
    <t>G</t>
  </si>
  <si>
    <t>Instrucciones a las comisiones locales</t>
  </si>
  <si>
    <t>H</t>
  </si>
  <si>
    <t>Instrucciones a los empadronadores</t>
  </si>
  <si>
    <t>III Parte</t>
  </si>
  <si>
    <t>Población por provincias en 1930 y en censos anteriores</t>
  </si>
  <si>
    <t>40</t>
  </si>
  <si>
    <t>1930</t>
  </si>
  <si>
    <t>Intensidad del desarrollo de la población por provincias en 1930 y en censos anteriores</t>
  </si>
  <si>
    <t>Población por provincias, departamentos y comunas en 1930 y en censos anteriores</t>
  </si>
  <si>
    <t>41</t>
  </si>
  <si>
    <t>Población de las ciudades con más de 5.000 habitantes en 1930 y en censos anteriores</t>
  </si>
  <si>
    <t>Intensidad del desarrollo de la población de las ciudades con más de 5.000 habitantes</t>
  </si>
  <si>
    <t>47</t>
  </si>
  <si>
    <t>Población de los pueblos de 1.001 a 5.000 habitantes en 1930 y en censos anteriores</t>
  </si>
  <si>
    <t>48</t>
  </si>
  <si>
    <t>Densidad de la población por km² por provincias, en 1930 y en censos anteriores</t>
  </si>
  <si>
    <t>50</t>
  </si>
  <si>
    <t>Entidades de población clasificadas por categorías en 1930</t>
  </si>
  <si>
    <t>Población urbana y rural con distinción del sexo en 1930, por provincias, departamentos y comunas</t>
  </si>
  <si>
    <t>51</t>
  </si>
  <si>
    <t>PDF 49-53. Transcrito en digitalizacion/1930/pub_1930_c09.csv (sin columnas de %).</t>
  </si>
  <si>
    <t>Población urbana y rural por provincias, según los censos de 1895 a 1930</t>
  </si>
  <si>
    <t>56</t>
  </si>
  <si>
    <t>1895;1907;1920;1930</t>
  </si>
  <si>
    <t>Transcrito en digitalizacion/1930/pub_1930_c10.csv.</t>
  </si>
  <si>
    <t>11</t>
  </si>
  <si>
    <t>Población urbana y % de intensidad de su desarrollo por provincias, según los censos de 1907 a 1930</t>
  </si>
  <si>
    <t>12</t>
  </si>
  <si>
    <t>Resumen de la distribución de la población según el sexo y número de viviendas, en 1930, por provincias, departamentos y comunas</t>
  </si>
  <si>
    <t>57</t>
  </si>
  <si>
    <t>Población detallada por entidades y categorías, por distritos y comunas, en 1930, con indicación del sexo y número de viviendas</t>
  </si>
  <si>
    <t>62</t>
  </si>
  <si>
    <t>entidad</t>
  </si>
  <si>
    <t>14</t>
  </si>
  <si>
    <t>Población araucana con distinción del sexo en 1930, comparada con censos anteriores</t>
  </si>
  <si>
    <t>297</t>
  </si>
  <si>
    <t>Tomo de edades</t>
  </si>
  <si>
    <t>Edad, estado civil y sexo de los habitantes en 1930, por provincias</t>
  </si>
  <si>
    <t>PDF 315-336. Columnas de total transcritas en digitalizacion/1930/pub_1930_edad4.csv. Sigue (PDF ~337-480) «Edad, estado civil y sexo de los habitantes, por comunas».</t>
  </si>
  <si>
    <t>Edad, estado civil y sexo de los habitantes, por comunas, en 1930</t>
  </si>
  <si>
    <t>Visto en PDF 341-342 y 350. Edades simples por comuna; también trae nacionalidad, religión e instrucción por comuna más adelante (PDF ~500-850).</t>
  </si>
  <si>
    <t>Nota preliminar</t>
  </si>
  <si>
    <t>i</t>
  </si>
  <si>
    <t>ii</t>
  </si>
  <si>
    <t>Población de Chile entre 1875-1940</t>
  </si>
  <si>
    <t>1875;1885;1895;1907;1920;1930;1940</t>
  </si>
  <si>
    <t>Población total por provincias, departamentos y comunas, 1940</t>
  </si>
  <si>
    <t>1940</t>
  </si>
  <si>
    <t>Población por edades individuales, sexo y provincias</t>
  </si>
  <si>
    <t>Instrucción y estado civil</t>
  </si>
  <si>
    <t>Instrucción de la población entre 1854-1940</t>
  </si>
  <si>
    <t>Instrucción de 1930 y 1940 comparadas</t>
  </si>
  <si>
    <t>Alfabetismo del país según edades y sexos</t>
  </si>
  <si>
    <t>Alfabetismo por provincias según edades y sexos</t>
  </si>
  <si>
    <t>Población por edades individuales, sexo, estado civil e instrucción - País</t>
  </si>
  <si>
    <t>Población por edades individuales, sexo, estado civil e instrucción - Provincias</t>
  </si>
  <si>
    <t>21</t>
  </si>
  <si>
    <t>Ciudades de 5 000 habitantes o más en 1940 y censos anteriores</t>
  </si>
  <si>
    <t>73</t>
  </si>
  <si>
    <t>Urbanismo</t>
  </si>
  <si>
    <t>Pueblos de 1 000 a 5 000 habitantes en 1940 y censos anteriores</t>
  </si>
  <si>
    <t>74</t>
  </si>
  <si>
    <t>Población urbana-rural por sexo según provincias, departamentos, comunas y distritos con indicación del número de viviendas</t>
  </si>
  <si>
    <t>76</t>
  </si>
  <si>
    <t>PDF 82-121. Transcrito hasta comuna (sin distritos) en digitalizacion/1940/pub_1940_p076.csv.</t>
  </si>
  <si>
    <t>Características económicas</t>
  </si>
  <si>
    <t>Población económicamente activa por sexo y provincias</t>
  </si>
  <si>
    <t>116</t>
  </si>
  <si>
    <t>Activos según sexo, trabajo y situación por provincias</t>
  </si>
  <si>
    <t>117</t>
  </si>
  <si>
    <t>Actividades según situación, edades y sexo</t>
  </si>
  <si>
    <t>121</t>
  </si>
  <si>
    <t>Actividades según rama, situación y sexo por provincias y comunas</t>
  </si>
  <si>
    <t>139</t>
  </si>
  <si>
    <t>Ocupaciones específicas por sexo - País</t>
  </si>
  <si>
    <t>200</t>
  </si>
  <si>
    <t>Ocupaciones específicas por sexo - Provincias y comunas</t>
  </si>
  <si>
    <t>202</t>
  </si>
  <si>
    <t>Reducciones indígenas</t>
  </si>
  <si>
    <t>Extranjeros según nacionalidad y sexo por provincias</t>
  </si>
  <si>
    <t>330</t>
  </si>
  <si>
    <t>Población por grupos quinquenales de edad, sexo y provincias</t>
  </si>
  <si>
    <t>332</t>
  </si>
  <si>
    <t>Págs. 332-335 (PDF 338-341). Transcrito en digitalizacion/1940/pub_1940_p332.csv.</t>
  </si>
  <si>
    <t>Tomo I. Resumen del País</t>
  </si>
  <si>
    <t>Portada, créditos e introducción</t>
  </si>
  <si>
    <t>PDF 1-5.</t>
  </si>
  <si>
    <t>Rasgos geográficos: descripción del país</t>
  </si>
  <si>
    <t>Inicio estimado.</t>
  </si>
  <si>
    <t>Historia censal: reseña de la historia censal del país</t>
  </si>
  <si>
    <t>Págs. 11-29 aprox. (con cuadros de empadronamientos coloniales en el texto).</t>
  </si>
  <si>
    <t>Tomo I. Cuadros comparativos</t>
  </si>
  <si>
    <t>Población del obispado de Santiago, por corregimientos, estado civil y castas, según el recuento efectuado el año 1779</t>
  </si>
  <si>
    <t>30</t>
  </si>
  <si>
    <t>Resumen general de la población del obispado de Santiago, según el censo de 1813</t>
  </si>
  <si>
    <t>36</t>
  </si>
  <si>
    <t>Población del obispado de Concepción, por castas y sexo, según el censo de 1812</t>
  </si>
  <si>
    <t>37</t>
  </si>
  <si>
    <t>Población total del país desde el censo del año 1835 al de 1952</t>
  </si>
  <si>
    <t>38</t>
  </si>
  <si>
    <t>1835;1843;1854;1865;1875;1885;1895;1907;1920;1930;1940;1952</t>
  </si>
  <si>
    <t>Población del país por provincias y sexo, desde el censo del año 1865 al de 1952</t>
  </si>
  <si>
    <t>1865;1875;1885;1895;1907;1920;1930;1940;1952</t>
  </si>
  <si>
    <t>PDF 35-36. Transcrito en digitalizacion/1952/pub_1952_c05.csv.</t>
  </si>
  <si>
    <t>Población del país por provincias, sexo y grupos de edad, según los censos de 1865 y 1875</t>
  </si>
  <si>
    <t>1865;1875</t>
  </si>
  <si>
    <t>PDF 36-38 (dos partes). Transcrito en digitalizacion/1952/pub_1952_c06.csv.</t>
  </si>
  <si>
    <t>Cuadro comparativo de la población del país, por grupos de edad, desde el censo del año 1885 al de 1952</t>
  </si>
  <si>
    <t>43</t>
  </si>
  <si>
    <t>1885;1895;1907;1920;1930;1940;1952</t>
  </si>
  <si>
    <t>edad</t>
  </si>
  <si>
    <t>Transcrito en digitalizacion/1952/pub_1952_c07.csv.</t>
  </si>
  <si>
    <t>Densidad de la población del país por provincias, desde el censo del año 1835 al de 1952</t>
  </si>
  <si>
    <t>Población del país por provincias según áreas urbana y rural desde el censo del año 1865 al de 1952</t>
  </si>
  <si>
    <t>44</t>
  </si>
  <si>
    <t>Continúa en PDF 41. Transcrito en digitalizacion/1952/pub_1952_c09.csv.</t>
  </si>
  <si>
    <t>Población de las ciudades más importantes, desde el censo del año 1854 al de 1952</t>
  </si>
  <si>
    <t>El encabezado 'Cuadro N.° 10' está en la pág. 46 (PDF 42).</t>
  </si>
  <si>
    <t>Tomo I. Censo de 1952</t>
  </si>
  <si>
    <t>Antecedentes del XII Censo General de Población y I de Vivienda (organización, cartografía, cédula, empadronamiento, tabulación)</t>
  </si>
  <si>
    <t>Págs. 47-84 aprox. Las págs. 85-116 (fin de los antecedentes y gráficos 1-10) faltan en el escaneo: el PDF 80 es la pág. 84 y el PDF 81 la 117.</t>
  </si>
  <si>
    <t>Tomo I. Gráficos</t>
  </si>
  <si>
    <t>Gráficos: carta etnográfica, divisiones territoriales 1848, 1895, 1930 y 1952, centros poblados, pirámides, densidad, etc.</t>
  </si>
  <si>
    <t>ausente</t>
  </si>
  <si>
    <t>Gráficos 1-10 (págs. 87-111) faltan en el escaneo; quedan los gráficos 11-21 intercalados en los cuadros nacionales (págs. 117-230). Sin cifras tabuladas.</t>
  </si>
  <si>
    <t>Tomo I. Cuadros nacionales: Atributos biológicos y distribución geográfica</t>
  </si>
  <si>
    <t>Población total del país por edades y sexo, según áreas urbana y rural</t>
  </si>
  <si>
    <t>1952</t>
  </si>
  <si>
    <t>area+sexo+edad</t>
  </si>
  <si>
    <t>Falta en el PDF del INE (pub_1952: págs. 85-116 ausentes); leído en la copia de Memoria Chilena, PDF 94-95. Edad simple; transcrito en digitalizacion/1952/pub_1952_cn01.csv.</t>
  </si>
  <si>
    <t>Población total del país por provincias y sexo, según áreas urbana y rural</t>
  </si>
  <si>
    <t>Falta en el PDF del INE (pub_1952: págs. 85-116 ausentes); leído en la copia de Memoria Chilena, PDF 100. Transcrito en digitalizacion/1952/pub_1952_cn02.csv.</t>
  </si>
  <si>
    <t>Población total del país, según provincia de nacimiento y de residencia (migraciones internas)</t>
  </si>
  <si>
    <t>Población, superficie y densidad del país por provincias, departamentos y comunas</t>
  </si>
  <si>
    <t>123</t>
  </si>
  <si>
    <t>PDF 86-89. Columna Población transcrita en digitalizacion/1952/pub_1952_cn04.csv (sin superficie ni densidad).</t>
  </si>
  <si>
    <t>Tomo I. Cuadros nacionales: Situación legal de la población</t>
  </si>
  <si>
    <t>Población de 15 años y más por grupos de edades, según estado civil y sexo</t>
  </si>
  <si>
    <t>134</t>
  </si>
  <si>
    <t>Población de 15 años y más, según estado civil, por provincias y sexo</t>
  </si>
  <si>
    <t>136</t>
  </si>
  <si>
    <t>Población total del país, chilenos y extranjeros, por grupos de edades y sexo</t>
  </si>
  <si>
    <t>141</t>
  </si>
  <si>
    <t>Columna Total general transcrita en digitalizacion/1952/pub_1952_cn07.csv (país × sexo × edad quinquenal); coincide con el Cuadro Nacional 1.</t>
  </si>
  <si>
    <t>Población total del país, chilenos y extranjeros, por provincias y sexo</t>
  </si>
  <si>
    <t>144</t>
  </si>
  <si>
    <t>Población total, según lugar de nacimiento y provincia de residencia, por sexo</t>
  </si>
  <si>
    <t>149</t>
  </si>
  <si>
    <t>Tomo I. Cuadros nacionales: Características educacionales</t>
  </si>
  <si>
    <t>Población total del país, alfabeta y analfabeta, por grupos de edades y sexo</t>
  </si>
  <si>
    <t>159</t>
  </si>
  <si>
    <t>Población total del país, alfabeta y analfabeta, por provincias y sexo, según áreas urbana y rural</t>
  </si>
  <si>
    <t>164</t>
  </si>
  <si>
    <t>Población en asistencia escolar por grupos de edades y sexo, según clase de instrucción</t>
  </si>
  <si>
    <t>Población del país en asistencia escolar por provincias y sexo, según clase de instrucción</t>
  </si>
  <si>
    <t>177</t>
  </si>
  <si>
    <t>Nivel educacional (clase de instrucción) de la población del país por grupos de edades y sexo</t>
  </si>
  <si>
    <t>188</t>
  </si>
  <si>
    <t>Nivel educacional (clase de instrucción) de la población del país por provincias y sexo</t>
  </si>
  <si>
    <t>194</t>
  </si>
  <si>
    <t>Tomo I. Cuadros nacionales: Religión</t>
  </si>
  <si>
    <t>Población total del país, según religión, por grupos de edades y sexo</t>
  </si>
  <si>
    <t>198</t>
  </si>
  <si>
    <t>Población total del país, según religión, por provincias y sexo</t>
  </si>
  <si>
    <t>Tomo I. Cuadros nacionales: Defectos físicos (ciegos y sordomudos)</t>
  </si>
  <si>
    <t>Defectos físicos, por grupos de edades y sexo</t>
  </si>
  <si>
    <t>203</t>
  </si>
  <si>
    <t>19</t>
  </si>
  <si>
    <t>Defectos físicos, por provincias y sexo</t>
  </si>
  <si>
    <t>Tomo I. Cuadros nacionales: Características económicas</t>
  </si>
  <si>
    <t>20</t>
  </si>
  <si>
    <t>Población del país económicamente activa e inactiva por grupos de edades y sexo, según áreas urbana y rural</t>
  </si>
  <si>
    <t>205</t>
  </si>
  <si>
    <t>Población del país económicamente activa e inactiva por provincias y sexo, según áreas urbana y rural</t>
  </si>
  <si>
    <t>209</t>
  </si>
  <si>
    <t>22</t>
  </si>
  <si>
    <t>Población del país económicamente activa, según categorías, por provincias y sexo</t>
  </si>
  <si>
    <t>215</t>
  </si>
  <si>
    <t>23</t>
  </si>
  <si>
    <t>Población del país económicamente inactiva, según categorías, por provincias y sexo</t>
  </si>
  <si>
    <t>Población del país, según ramas de actividad económica, por grupos de edades y sexo</t>
  </si>
  <si>
    <t>25</t>
  </si>
  <si>
    <t>Población económicamente activa por grupos de edades y sexo (en carbón, cobre, salitre y yodo, industrias alimenticias y de bebidas y comercio por mayor y menor)</t>
  </si>
  <si>
    <t>26</t>
  </si>
  <si>
    <t>Población económicamente activa por provincias y sexo (en carbón, cobre, salitre y yodo, industrias alimenticias y de bebidas y comercio por mayor y menor)</t>
  </si>
  <si>
    <t>237</t>
  </si>
  <si>
    <t>Población del país, según ramas de actividad económica, por provincias y sexo</t>
  </si>
  <si>
    <t>244</t>
  </si>
  <si>
    <t>28</t>
  </si>
  <si>
    <t>Población total económicamente activa, por ramas de actividad económica, según ocupación habitual y sexo</t>
  </si>
  <si>
    <t>29</t>
  </si>
  <si>
    <t>Población total económicamente activa, según ocupación habitual y posición ocupacional, por sexo</t>
  </si>
  <si>
    <t>259</t>
  </si>
  <si>
    <t>Población activa, según posición ocupacional y rama de la actividad económica, por sexo</t>
  </si>
  <si>
    <t>263</t>
  </si>
  <si>
    <t>Población activa, según ocupación habitual, por sexo</t>
  </si>
  <si>
    <t>269</t>
  </si>
  <si>
    <t>Tomo I. Anexos</t>
  </si>
  <si>
    <t>Reproducción de la cédula de empadronamiento, hoja de control y tarjeta infantil</t>
  </si>
  <si>
    <t>PDF 236-239.</t>
  </si>
  <si>
    <t>División territorial. Provincia de Concepción</t>
  </si>
  <si>
    <t>Concepción: reseña histórica, decretos de límites (1938), mapas y población por comuna-subdelegación, distrito y entidad (categoría, viviendas, hombres, mujeres, total)</t>
  </si>
  <si>
    <t>PDF 240-365; mecanografiado, sin paginación continua. Trae la población de la provincia según los censos y la urbana y rural por departamento al comienzo.</t>
  </si>
  <si>
    <t>División territorial. Provincia de Ñuble</t>
  </si>
  <si>
    <t>Ñuble: reseña histórica, decretos de límites (1938), mapas y población por comuna-subdelegación, distrito y entidad (categoría, viviendas, hombres, mujeres, total)</t>
  </si>
  <si>
    <t>PDF 366-457; mecanografiado, sin paginación continua. Trae la población de la provincia según los censos y la urbana y rural por departamento al comienzo.</t>
  </si>
  <si>
    <t>División territorial. Provincia de Linares</t>
  </si>
  <si>
    <t>Linares: reseña histórica, decretos de límites (1938), mapas y población por comuna-subdelegación, distrito y entidad (categoría, viviendas, hombres, mujeres, total)</t>
  </si>
  <si>
    <t>PDF 458-525; mecanografiado, sin paginación continua. Trae la población de la provincia según los censos y la urbana y rural por departamento al comienzo.</t>
  </si>
  <si>
    <t>División territorial. Provincia de Maule</t>
  </si>
  <si>
    <t>Maule: reseña histórica, decretos de límites (1938), mapas y población por comuna-subdelegación, distrito y entidad (categoría, viviendas, hombres, mujeres, total)</t>
  </si>
  <si>
    <t>PDF 526-648; mecanografiado, sin paginación continua. Trae la población de la provincia según los censos y la urbana y rural por departamento al comienzo.</t>
  </si>
  <si>
    <t>División territorial. Provincia de Arauco</t>
  </si>
  <si>
    <t>Arauco: reseña histórica, decretos de límites (1938), mapas y población por comuna-subdelegación, distrito y entidad (categoría, viviendas, hombres, mujeres, total)</t>
  </si>
  <si>
    <t>PDF 649-692; mecanografiado, sin paginación continua. Trae la población de la provincia según los censos y la urbana y rural por departamento al comienzo.</t>
  </si>
  <si>
    <t>División territorial. Provincia de Bío-Bío</t>
  </si>
  <si>
    <t>Bío-Bío: reseña histórica, decretos de límites (1938), mapas y población por comuna-subdelegación, distrito y entidad (categoría, viviendas, hombres, mujeres, total)</t>
  </si>
  <si>
    <t>PDF 693-791; mecanografiado, sin paginación continua. Trae la población de la provincia según los censos y la urbana y rural por departamento al comienzo.</t>
  </si>
  <si>
    <t>División territorial. Provincia de Malleco</t>
  </si>
  <si>
    <t>Malleco: reseña histórica, decretos de límites (1938), mapas y población por comuna-subdelegación, distrito y entidad (categoría, viviendas, hombres, mujeres, total)</t>
  </si>
  <si>
    <t>PDF 792-885; mecanografiado, sin paginación continua. Trae la población de la provincia según los censos y la urbana y rural por departamento al comienzo.</t>
  </si>
  <si>
    <t>División territorial. Provincia de Cautín</t>
  </si>
  <si>
    <t>Cautín: reseña histórica, decretos de límites (1938), mapas y población por comuna-subdelegación, distrito y entidad (categoría, viviendas, hombres, mujeres, total)</t>
  </si>
  <si>
    <t>PDF 886-1055; mecanografiado, sin paginación continua. Trae la población de la provincia según los censos y la urbana y rural por departamento al comienzo.</t>
  </si>
  <si>
    <t>División territorial. Provincia de Tarapacá</t>
  </si>
  <si>
    <t>Tarapacá: reseña histórica, decretos de límites (1938), mapas y población por comuna-subdelegación, distrito y entidad (categoría, viviendas, hombres, mujeres, total)</t>
  </si>
  <si>
    <t>PDF 1951-2004; mecanografiado, sin paginación continua. Trae la población de la provincia según los censos y la urbana y rural por departamento al comienzo.</t>
  </si>
  <si>
    <t>División territorial. Provincia de Antofagasta</t>
  </si>
  <si>
    <t>Antofagasta: reseña histórica, decretos de límites (1938), mapas y población por comuna-subdelegación, distrito y entidad (categoría, viviendas, hombres, mujeres, total)</t>
  </si>
  <si>
    <t>PDF 2005-2049; mecanografiado, sin paginación continua. Trae la población de la provincia según los censos y la urbana y rural por departamento al comienzo.</t>
  </si>
  <si>
    <t>División territorial. Provincia de Atacama</t>
  </si>
  <si>
    <t>Atacama: reseña histórica, decretos de límites (1938), mapas y población por comuna-subdelegación, distrito y entidad (categoría, viviendas, hombres, mujeres, total)</t>
  </si>
  <si>
    <t>PDF 2050-2103; mecanografiado, sin paginación continua. Trae la población de la provincia según los censos y la urbana y rural por departamento al comienzo.</t>
  </si>
  <si>
    <t>División territorial. Provincia de Coquimbo</t>
  </si>
  <si>
    <t>Coquimbo: reseña histórica, decretos de límites (1938), mapas y población por comuna-subdelegación, distrito y entidad (categoría, viviendas, hombres, mujeres, total)</t>
  </si>
  <si>
    <t>PDF 2104-2215; mecanografiado, sin paginación continua. Trae la población de la provincia según los censos y la urbana y rural por departamento al comienzo.</t>
  </si>
  <si>
    <t>División territorial. Provincia de Aconcagua</t>
  </si>
  <si>
    <t>Aconcagua: reseña histórica, decretos de límites (1938), mapas y población por comuna-subdelegación, distrito y entidad (categoría, viviendas, hombres, mujeres, total)</t>
  </si>
  <si>
    <t>PDF 2216-2277; mecanografiado, sin paginación continua. Trae la población de la provincia según los censos y la urbana y rural por departamento al comienzo.</t>
  </si>
  <si>
    <t>División territorial. Provincia de Valparaíso</t>
  </si>
  <si>
    <t>Valparaíso: reseña histórica, decretos de límites (1938), mapas y población por comuna-subdelegación, distrito y entidad (categoría, viviendas, hombres, mujeres, total)</t>
  </si>
  <si>
    <t>PDF 2278-2373; mecanografiado, sin paginación continua. Trae la población de la provincia según los censos y la urbana y rural por departamento al comienzo. Incluye Isla de Pascua (departamento de Valparaíso), PDF 2352-2373, con reseña de la isla.</t>
  </si>
  <si>
    <t>Tomo II. Núcleo Central</t>
  </si>
  <si>
    <t>Preliminares: reseña histórica de cada provincia y población de provincias, departamentos y comunas según los censos de 1875 a 1940</t>
  </si>
  <si>
    <t>1875;1885;1895;1907;1920;1930;1940;1952</t>
  </si>
  <si>
    <t>Págs. romanas, PDF 1056-1083. Los cuadros históricos por comuna están en PDF 1069-1074 (Aconcagua a Colchagua) y la población, superficie y densidad de 1952 en PDF 1076.</t>
  </si>
  <si>
    <t>Tomo II. Provincia de Aconcagua</t>
  </si>
  <si>
    <t>Población urbana y rural por años de edad y sexo</t>
  </si>
  <si>
    <t>Resumen por comunas de la provincia y luego cada comuna.</t>
  </si>
  <si>
    <t>Población según su estado civil por grupos de edad y sexo</t>
  </si>
  <si>
    <t>Nacionalidad de la población por grupos de edad y sexo</t>
  </si>
  <si>
    <t>Población alfabeta y analfabeta, por grupos de edad y sexo, según áreas de empadronamiento</t>
  </si>
  <si>
    <t>53</t>
  </si>
  <si>
    <t>Asistencia escolar de la población, según clase de instrucción, por edad y sexo</t>
  </si>
  <si>
    <t>66</t>
  </si>
  <si>
    <t>Clase de instrucción de la población, por edad y sexo</t>
  </si>
  <si>
    <t>75</t>
  </si>
  <si>
    <t>Población económicamente activa e inactiva por grupos de edad y sexo según áreas de empadronamiento</t>
  </si>
  <si>
    <t>91</t>
  </si>
  <si>
    <t>Población por rama de actividad económica, por edad y sexo</t>
  </si>
  <si>
    <t>107</t>
  </si>
  <si>
    <t>Población activa según rama de la actividad económica, ocupación habitual y sexo</t>
  </si>
  <si>
    <t>Solo la provincia.</t>
  </si>
  <si>
    <t>Población activa según posición ocupacional, ocupación habitual y sexo</t>
  </si>
  <si>
    <t>124</t>
  </si>
  <si>
    <t>Población activa según posición ocupacional, rama de actividad económica y sexo</t>
  </si>
  <si>
    <t>125</t>
  </si>
  <si>
    <t>Población activa según ocupación habitual y sexo</t>
  </si>
  <si>
    <t>126</t>
  </si>
  <si>
    <t>Religión de la población por grupos de edad y sexo</t>
  </si>
  <si>
    <t>Defectos físicos de la población</t>
  </si>
  <si>
    <t>128</t>
  </si>
  <si>
    <t>Tomo II. Provincia de Valparaíso</t>
  </si>
  <si>
    <t>132</t>
  </si>
  <si>
    <t>154</t>
  </si>
  <si>
    <t>167</t>
  </si>
  <si>
    <t>184</t>
  </si>
  <si>
    <t>206</t>
  </si>
  <si>
    <t>240</t>
  </si>
  <si>
    <t>258</t>
  </si>
  <si>
    <t>260</t>
  </si>
  <si>
    <t>262</t>
  </si>
  <si>
    <t>Tomo II. Provincia de Santiago</t>
  </si>
  <si>
    <t>265</t>
  </si>
  <si>
    <t>318</t>
  </si>
  <si>
    <t>350</t>
  </si>
  <si>
    <t>391</t>
  </si>
  <si>
    <t>432</t>
  </si>
  <si>
    <t>454</t>
  </si>
  <si>
    <t>536</t>
  </si>
  <si>
    <t>577</t>
  </si>
  <si>
    <t>578</t>
  </si>
  <si>
    <t>579</t>
  </si>
  <si>
    <t>580</t>
  </si>
  <si>
    <t>581</t>
  </si>
  <si>
    <t>582</t>
  </si>
  <si>
    <t>Tomo II. Provincia de O'Higgins</t>
  </si>
  <si>
    <t>585</t>
  </si>
  <si>
    <t>610</t>
  </si>
  <si>
    <t>642</t>
  </si>
  <si>
    <t>661</t>
  </si>
  <si>
    <t>672</t>
  </si>
  <si>
    <t>691</t>
  </si>
  <si>
    <t>710</t>
  </si>
  <si>
    <t>729</t>
  </si>
  <si>
    <t>730</t>
  </si>
  <si>
    <t>731</t>
  </si>
  <si>
    <t>732</t>
  </si>
  <si>
    <t>733</t>
  </si>
  <si>
    <t>734</t>
  </si>
  <si>
    <t>Tomo II. Provincia de Colchagua</t>
  </si>
  <si>
    <t>737</t>
  </si>
  <si>
    <t>759</t>
  </si>
  <si>
    <t>772</t>
  </si>
  <si>
    <t>788</t>
  </si>
  <si>
    <t>804</t>
  </si>
  <si>
    <t>813</t>
  </si>
  <si>
    <t>829</t>
  </si>
  <si>
    <t>845</t>
  </si>
  <si>
    <t>862</t>
  </si>
  <si>
    <t>864</t>
  </si>
  <si>
    <t>866</t>
  </si>
  <si>
    <t>Índice del tomo y fe de erratas</t>
  </si>
  <si>
    <t>PDF 1947-1950.</t>
  </si>
  <si>
    <t>Censo de vivienda</t>
  </si>
  <si>
    <t>Viviendas y habitantes según categoría de la vivienda, calidad de construcción y estado de conservación, y relación habitantes por vivienda (país y provincias, por área)</t>
  </si>
  <si>
    <t>PDF 2374-2431; comienza con la nómina del personal del censo. Títulos leídos solo por OCR, sin verificar.</t>
  </si>
  <si>
    <t>Primera parte - I. Introducción</t>
  </si>
  <si>
    <t>I</t>
  </si>
  <si>
    <t>Antecedentes generales del Censo</t>
  </si>
  <si>
    <t>Organización y administración de las labores censales</t>
  </si>
  <si>
    <t>Cartografía censal</t>
  </si>
  <si>
    <t>Cuestionario censal</t>
  </si>
  <si>
    <t>Censos de Prueba</t>
  </si>
  <si>
    <t>Preparación del personal</t>
  </si>
  <si>
    <t>Publicidad censal</t>
  </si>
  <si>
    <t>Levantamiento censal</t>
  </si>
  <si>
    <t>Control de la calidad de los datos</t>
  </si>
  <si>
    <t>Etapa post-censal</t>
  </si>
  <si>
    <t>Muestra</t>
  </si>
  <si>
    <t>Primera parte - II. Análisis demográfico de las cifras censales</t>
  </si>
  <si>
    <t>II</t>
  </si>
  <si>
    <t>Análisis demográfico de las cifras censales</t>
  </si>
  <si>
    <t>Crecimiento de la población</t>
  </si>
  <si>
    <t>Distribución de la población</t>
  </si>
  <si>
    <t>Composición por sexo y edad</t>
  </si>
  <si>
    <t>Estado civil</t>
  </si>
  <si>
    <t>Fecundidad</t>
  </si>
  <si>
    <t>País de nacimiento</t>
  </si>
  <si>
    <t>54</t>
  </si>
  <si>
    <t>Migración interna</t>
  </si>
  <si>
    <t>59</t>
  </si>
  <si>
    <t>Características educacionales</t>
  </si>
  <si>
    <t>68</t>
  </si>
  <si>
    <t>Alfabetismo</t>
  </si>
  <si>
    <t>Nivel de instrucción</t>
  </si>
  <si>
    <t>77</t>
  </si>
  <si>
    <t>Asistencia escolar</t>
  </si>
  <si>
    <t>92</t>
  </si>
  <si>
    <t>Población económicamente activa</t>
  </si>
  <si>
    <t>Rama de actividad</t>
  </si>
  <si>
    <t>114</t>
  </si>
  <si>
    <t>Categoría de ocupación</t>
  </si>
  <si>
    <t>Población económicamente inactiva</t>
  </si>
  <si>
    <t>118</t>
  </si>
  <si>
    <t>Segunda parte - 1. Características demográficas</t>
  </si>
  <si>
    <t>1.1</t>
  </si>
  <si>
    <t>Población según los Censos de 1940, 1952 y 1960, por Provincias</t>
  </si>
  <si>
    <t>1940;1952;1960</t>
  </si>
  <si>
    <t>Población según Censos de 1940, 1952 y 1960, clasificada en urbana y rural, por Provincias</t>
  </si>
  <si>
    <t>Página girada. Transcrito en digitalizacion/1960/pub_1960_c1_1_1.csv.</t>
  </si>
  <si>
    <t>1.1.2</t>
  </si>
  <si>
    <t>Población según los Censos de 1940, 1952 y 1960, por Provincias y ciudades más importantes del País</t>
  </si>
  <si>
    <t>1.1.3</t>
  </si>
  <si>
    <t>Población según los Censos de 1940, 1952 y 1960, por sexo y grupos de edades</t>
  </si>
  <si>
    <t>Población por sexo, clasificada en urbana y rural, por Provincias</t>
  </si>
  <si>
    <t>1960</t>
  </si>
  <si>
    <t>PDF 142-143, páginas giradas. Transcrito en digitalizacion/1960/pub_1960_c1_2.csv.</t>
  </si>
  <si>
    <t>Población según grupos de edades, por Provincias</t>
  </si>
  <si>
    <t>130</t>
  </si>
  <si>
    <t>PDF 144-145. Transcrito en digitalizacion/1960/pub_1960_c1_2_1.csv.</t>
  </si>
  <si>
    <t>1.2.2</t>
  </si>
  <si>
    <t>Población de las comunas cabeceras de provincias por grupos de edades y sexo</t>
  </si>
  <si>
    <t>1.2.3</t>
  </si>
  <si>
    <t>Población por sexo del Gran Santiago y de las ciudades principales del País</t>
  </si>
  <si>
    <t>Población clasificada en urbana y rural, según sexo, por años simples de edad</t>
  </si>
  <si>
    <t>142</t>
  </si>
  <si>
    <t>PDF 156-160 (menores de 1 año por meses). Transcrito en digitalizacion/1960/pub_1960_c1_3.csv.</t>
  </si>
  <si>
    <t>1.4</t>
  </si>
  <si>
    <t>Población según estado civil, por provincias y sexo</t>
  </si>
  <si>
    <t>147</t>
  </si>
  <si>
    <t>1.4.1</t>
  </si>
  <si>
    <t>Población por estado civil y sexo, según años simples y grupos de edades</t>
  </si>
  <si>
    <t>152</t>
  </si>
  <si>
    <t>1.4.1.1</t>
  </si>
  <si>
    <t>Población urbana por estado civil y sexo, según años simples y grupos de edades</t>
  </si>
  <si>
    <t>155</t>
  </si>
  <si>
    <t>1.4.1.2</t>
  </si>
  <si>
    <t>Población rural por estado civil y sexo, según años simples y grupos de edades</t>
  </si>
  <si>
    <t>158</t>
  </si>
  <si>
    <t>1.5</t>
  </si>
  <si>
    <t>Población según provincia de nacimiento, por grupos de edades y sexo</t>
  </si>
  <si>
    <t>161</t>
  </si>
  <si>
    <t>1.5.1</t>
  </si>
  <si>
    <t>Población por provincia de nacimiento y provincia de residencia y sexo</t>
  </si>
  <si>
    <t>170</t>
  </si>
  <si>
    <t>1.5.2</t>
  </si>
  <si>
    <t>Población extranjera residente en Chile, según sexo, por continentes y países</t>
  </si>
  <si>
    <t>182</t>
  </si>
  <si>
    <t>1.5.3</t>
  </si>
  <si>
    <t>Población según sexo y grupos de edades, nacidos en Chile y en el extranjero</t>
  </si>
  <si>
    <t>1.6</t>
  </si>
  <si>
    <t>Mujeres según el número de hijos habidos nacidos vivos, en área urbana y rural, por grupos de edades de las mujeres</t>
  </si>
  <si>
    <t>1.6.1</t>
  </si>
  <si>
    <t>Mujeres según el número de hijos habidos nacidos vivos, en área urbana, por grupos de edades de las mujeres</t>
  </si>
  <si>
    <t>189</t>
  </si>
  <si>
    <t>1.6.2</t>
  </si>
  <si>
    <t>Mujeres según el número de hijos habidos nacidos vivos, en área rural, por grupos de edades de las mujeres</t>
  </si>
  <si>
    <t>191</t>
  </si>
  <si>
    <t>1.6.3</t>
  </si>
  <si>
    <t>Mujeres según estado civil y número de hijos habidos nacidos vivos, por grupos de edades y condición de actividad económica</t>
  </si>
  <si>
    <t>193</t>
  </si>
  <si>
    <t>1.6.3.1</t>
  </si>
  <si>
    <t>Mujeres solteras según número de hijos habidos nacidos vivos, por grupos de edades y condición de actividad económica</t>
  </si>
  <si>
    <t>1.6.3.2</t>
  </si>
  <si>
    <t>Mujeres casadas y convivientes, según número de hijos habidos nacidos vivos, por grupos de edades y condición de actividad económica</t>
  </si>
  <si>
    <t>1.6.3.3</t>
  </si>
  <si>
    <t>Mujeres en otro estado civil o ignorado, según número de hijos habidos nacidos vivos por grupos de edades y condición de actividad económica</t>
  </si>
  <si>
    <t>199</t>
  </si>
  <si>
    <t>1.7</t>
  </si>
  <si>
    <t>Número de hogares censales y población clasificada en urbana y rural, por sexo, según la clase del hogar censal y tamaño del hogar particular</t>
  </si>
  <si>
    <t>201</t>
  </si>
  <si>
    <t>1.7.1</t>
  </si>
  <si>
    <t>Número de hogares censales y población, clasificada en urbana y rural, según tamaño de los hogares particulares, por Provincias</t>
  </si>
  <si>
    <t>1.7.2</t>
  </si>
  <si>
    <t>Población de los hogares particulares, por estado civil y sexo, según relación o parentesco con los jefes de hogares</t>
  </si>
  <si>
    <t>Segunda parte - 2. Características educacionales</t>
  </si>
  <si>
    <t>2.1</t>
  </si>
  <si>
    <t>Población de 15 y más años, clasificada en urbana y rural, según condición de alfabetización, por provincias y sexo</t>
  </si>
  <si>
    <t>208</t>
  </si>
  <si>
    <t>2.1.1</t>
  </si>
  <si>
    <t>Población de 7 y más años, clasificada en urbana y rural, según condición de alfabetización, por grupos de edades y sexo</t>
  </si>
  <si>
    <t>213</t>
  </si>
  <si>
    <t>2.2</t>
  </si>
  <si>
    <t>Población de 5 y más años, por sexo y grupos de edades, que asiste a instituciones de enseñanza regular, sin indicación de nivel, por Provincias</t>
  </si>
  <si>
    <t>2.2.1</t>
  </si>
  <si>
    <t>Población de 5 y más años, por provincias, que asiste a instituciones de enseñanza regular, por año de enseñanza al que asiste y sexo</t>
  </si>
  <si>
    <t>218</t>
  </si>
  <si>
    <t>2.2.2</t>
  </si>
  <si>
    <t>Población de 5 y más años, que asiste a instituciones de enseñanza regular por sexo, años simples y grupos de edades</t>
  </si>
  <si>
    <t>245</t>
  </si>
  <si>
    <t>2.2.2.1</t>
  </si>
  <si>
    <t>Población de 5 y más años, clasificada en urbana y rural, que asiste a instituciones de enseñanza primaria regular, según años simples y grupos de edades, por año de enseñanza al que asiste y sexo</t>
  </si>
  <si>
    <t>2.2.2.2</t>
  </si>
  <si>
    <t>Población de 5 y más años, que asiste a instituciones de enseñanza regular media, según años simples y grupos de edades, por rama, año de enseñanza al que asiste y sexo</t>
  </si>
  <si>
    <t>2.2.2.3</t>
  </si>
  <si>
    <t>Población de 15 y más años, que asiste a instituciones de enseñanza regular universitaria, según años simples y grupos de edades, por año al que asiste y sexo</t>
  </si>
  <si>
    <t>266</t>
  </si>
  <si>
    <t>2.2.2.4</t>
  </si>
  <si>
    <t>Población de 12 y más años, que asiste a instituciones de enseñanza especial, según años simples, y grupos de edades y sexo</t>
  </si>
  <si>
    <t>267</t>
  </si>
  <si>
    <t>2.3</t>
  </si>
  <si>
    <t>Población de 15 y más años, por Provincias, según nivel de instrucción y sexo</t>
  </si>
  <si>
    <t>268</t>
  </si>
  <si>
    <t>2.3.1</t>
  </si>
  <si>
    <t>Población de 15 y más años, por sexo, según nivel de instrucción</t>
  </si>
  <si>
    <t>2.3.2</t>
  </si>
  <si>
    <t>Población de 5 y más años, según nivel de instrucción por sexo y grupos de edades</t>
  </si>
  <si>
    <t>296</t>
  </si>
  <si>
    <t>2.3.2.1</t>
  </si>
  <si>
    <t>Población de 5 y más años urbana, según nivel de instrucción, por sexo y grupos de edades</t>
  </si>
  <si>
    <t>301</t>
  </si>
  <si>
    <t>2.3.2.2</t>
  </si>
  <si>
    <t>Población de 5 y más años rural, según nivel de instrucción, por sexo y grupos de edades</t>
  </si>
  <si>
    <t>306</t>
  </si>
  <si>
    <t>2.3.3</t>
  </si>
  <si>
    <t>Población de 5 y más años, por sexo y grupos de edades, según nivel de instrucción</t>
  </si>
  <si>
    <t>311</t>
  </si>
  <si>
    <t>2.3.3.1</t>
  </si>
  <si>
    <t>Población urbana de 5 y más años, por sexo y grupos de edades, según nivel de instrucción</t>
  </si>
  <si>
    <t>314</t>
  </si>
  <si>
    <t>2.3.3.2</t>
  </si>
  <si>
    <t>Población rural de 5 y más años, por sexo y grupos de edades según nivel de instrucción</t>
  </si>
  <si>
    <t>317</t>
  </si>
  <si>
    <t>Segunda parte - 3. Características económicas</t>
  </si>
  <si>
    <t>3.1</t>
  </si>
  <si>
    <t>Población de 12 y más años, económicamente activa e inactiva, clasificada en urbana y rural, por provincias y sexo</t>
  </si>
  <si>
    <t>320</t>
  </si>
  <si>
    <t>3.2</t>
  </si>
  <si>
    <t>Población de 12 y más años, económicamente activa e inactiva, clasificada en urbana y rural, por sexo, años simples y grupos de edades</t>
  </si>
  <si>
    <t>323</t>
  </si>
  <si>
    <t>3.3</t>
  </si>
  <si>
    <t>Población de 12 y más años económicamente activa y 10 y más años económicamente inactiva, por sexo, según nivel de instrucción</t>
  </si>
  <si>
    <t>324</t>
  </si>
  <si>
    <t>3.4</t>
  </si>
  <si>
    <t>Población de 12 y más años, económicamente activa, según grupos principales de ocupación, por provincias y sexo</t>
  </si>
  <si>
    <t>327</t>
  </si>
  <si>
    <t>3.4.1</t>
  </si>
  <si>
    <t>Población de 12 y más años, económicamente activa, según grupos principales de ocupación, sexo, años simples y grupos de edades</t>
  </si>
  <si>
    <t>333</t>
  </si>
  <si>
    <t>3.4.2</t>
  </si>
  <si>
    <t>Población de 12 y más años, económicamente activa, según grupos principales de ocupación y tipo de actividad por grupos de edades</t>
  </si>
  <si>
    <t>337</t>
  </si>
  <si>
    <t>3.4.3</t>
  </si>
  <si>
    <t>Población de 12 y más años, económicamente activa, según estado civil y sexo, por grupos principales de ocupación y provincias</t>
  </si>
  <si>
    <t>341</t>
  </si>
  <si>
    <t>3.4.4</t>
  </si>
  <si>
    <t>Población de 12 y más años, económicamente activa, según rama de actividad económica, por grupos y sub-grupos de ocupación y sexo</t>
  </si>
  <si>
    <t>3.4.5</t>
  </si>
  <si>
    <t>Población de 12 y más años, económicamente activa, según grupos principales de ocupación por nivel de instrucción y sexo</t>
  </si>
  <si>
    <t>3.4.6</t>
  </si>
  <si>
    <t>Jefes de hogares censales, según grupos de edades, por grupos principales de ocupación y sexo</t>
  </si>
  <si>
    <t>390</t>
  </si>
  <si>
    <t>3.4.7</t>
  </si>
  <si>
    <t>Población de 12 y más años, económicamente activa, según categoría de ocupación, por grupos y sub-grupos de ocupación y sexo</t>
  </si>
  <si>
    <t>3.5</t>
  </si>
  <si>
    <t>Población de 12 y más años, económicamente activa, según rama de actividad económica, por provincias y sexo</t>
  </si>
  <si>
    <t>404</t>
  </si>
  <si>
    <t>3.5.1</t>
  </si>
  <si>
    <t>Población de 12 y más años, económicamente activa, según rama de actividad económica, por sexo, años simples y grupos de edades</t>
  </si>
  <si>
    <t>409</t>
  </si>
  <si>
    <t>3.5.1.1</t>
  </si>
  <si>
    <t>Población de 12 y más años, urbana, económicamente activa, según rama de actividad económica, por sexo, años simples y grupos de edades</t>
  </si>
  <si>
    <t>413</t>
  </si>
  <si>
    <t>3.5.1.2</t>
  </si>
  <si>
    <t>Población de 12 y más años, rural, económicamente activa, según rama de actividad económica, por sexo, años simples y grupos de edades</t>
  </si>
  <si>
    <t>3.5.2</t>
  </si>
  <si>
    <t>Población de 12 y más años, económicamente activa, según categoría de ocupación, por rama de actividad económica y sexo</t>
  </si>
  <si>
    <t>421</t>
  </si>
  <si>
    <t>3.5.3</t>
  </si>
  <si>
    <t>Jefes de hogares censales, según grupos de edades, por rama de actividad económica y sexo</t>
  </si>
  <si>
    <t>428</t>
  </si>
  <si>
    <t>3.6</t>
  </si>
  <si>
    <t>Población de 12 y más años, económicamente activa, según categoría de ocupación, por provincias y sexo</t>
  </si>
  <si>
    <t>430</t>
  </si>
  <si>
    <t>3.6.1</t>
  </si>
  <si>
    <t>Población de 12 y más años, económicamente activa, según categoría de ocupación, por sexo, años simples y grupos de edades</t>
  </si>
  <si>
    <t>435</t>
  </si>
  <si>
    <t>3.7</t>
  </si>
  <si>
    <t>Población de 12 y más años, económicamente activa, según tipo de actividad, por provincias y sexo</t>
  </si>
  <si>
    <t>438</t>
  </si>
  <si>
    <t>3.7.1</t>
  </si>
  <si>
    <t>Población de 12 y más años, económicamente activa, según tipo de actividad, por sexo, años simples y grupos de edades</t>
  </si>
  <si>
    <t>441</t>
  </si>
  <si>
    <t>3.7.2</t>
  </si>
  <si>
    <t>Población de 12 y más años, clasificada en urbana y rural, según condición de alfabetización y sexo, por tipo de actividad</t>
  </si>
  <si>
    <t>442</t>
  </si>
  <si>
    <t>3.8</t>
  </si>
  <si>
    <t>Población de 12 y más años, económicamente inactiva, según tipo de actividad, por provincias y sexo</t>
  </si>
  <si>
    <t>445</t>
  </si>
  <si>
    <t>3.8.1</t>
  </si>
  <si>
    <t>Población de 12 y más años, económicamente inactiva, según tipo de actividad por sexo, años simples y grupos de edades</t>
  </si>
  <si>
    <t>447</t>
  </si>
  <si>
    <t>Tercera parte</t>
  </si>
  <si>
    <t>III</t>
  </si>
  <si>
    <t>Códigos</t>
  </si>
  <si>
    <t>Población total por área urbana y rural y sexo, según grupos quinquenales y años simples de edad</t>
  </si>
  <si>
    <t>1970</t>
  </si>
  <si>
    <t>PDF 11-14. Transcrito en digitalizacion/1970/pub_1970_c03.csv.</t>
  </si>
  <si>
    <t>Población de 12 años y más por estado civil, según sexo y grupos quinquenales de edad</t>
  </si>
  <si>
    <t>Población total por religión, según provincias</t>
  </si>
  <si>
    <t>Solo la columna TOTAL (población por provincia) transcrita en digitalizacion/1970/pub_1970_c05.csv.</t>
  </si>
  <si>
    <t>Población total por religión, según grupos quinquenales de edad</t>
  </si>
  <si>
    <t>Población total por lugar de residencia habitual actual, según sexo y lugar de nacimiento</t>
  </si>
  <si>
    <t>Población nacida en el extranjero residente en Chile, por grupos de edad, según sexo, continente y país de nacimiento</t>
  </si>
  <si>
    <t>Población de 5 años y más no migrantes y migrantes, por grupos de edad, según sexo y lugar de residencia habitual en 1965</t>
  </si>
  <si>
    <t>Población de 5 años y más no migrantes y migrantes, por grupos de edad, según sexo y lugar de residencia habitual actual (1970)</t>
  </si>
  <si>
    <t>34</t>
  </si>
  <si>
    <t>Población de 5 años y más por status migratorio, según sexo y lugar de residencia habitual actual</t>
  </si>
  <si>
    <t>Población de 10 años y más por condición de alfabetismo y sexo, según provincia y área urbana y rural</t>
  </si>
  <si>
    <t>Población de 10 años y más por condición de alfabetismo y sexo, según grupos quinquenales de edad y área urbana y rural</t>
  </si>
  <si>
    <t>Población de 5 años y más que asiste a instituciones de enseñanza regular, por grupos de edad, según provincias de empadronamiento</t>
  </si>
  <si>
    <t>Población de 5 años y más por grupos de edad, según tipo de enseñanza y último curso aprobado</t>
  </si>
  <si>
    <t>Población de 5 años y más que asiste a instituciones de enseñanza regular, por grupos de edad, según tipo de enseñanza y curso al que asiste</t>
  </si>
  <si>
    <t>52</t>
  </si>
  <si>
    <t>Población de 5 años y más por condición de asistencia escolar y sexo, según provincias de empadronamiento</t>
  </si>
  <si>
    <t>58</t>
  </si>
  <si>
    <t>Población de 5 años y más por último curso aprobado y sexo, según tipo de enseñanza y grupos quinquenales de edad</t>
  </si>
  <si>
    <t>60</t>
  </si>
  <si>
    <t>Población de 12 años y más por tipo de actividad y área urbana y rural, según sexo y provincias</t>
  </si>
  <si>
    <t>Población de 12 años y más por tipo de actividad y área urbana y rural, según sexo y grupos quinquenales de edad</t>
  </si>
  <si>
    <t>Población de 12 años y más por tipo de actividad y sexo, según tipo de enseñanza y último curso aprobado</t>
  </si>
  <si>
    <t>67</t>
  </si>
  <si>
    <t>Población de 12 años y más económicamente activa, por rama de actividad económica, según sexo y grupos quinquenales de edad</t>
  </si>
  <si>
    <t>Población de 12 años y más económicamente activa, por rama de actividad económica, según sexo y provincias</t>
  </si>
  <si>
    <t>Población de 12 años y más económicamente activa, por rama de actividad económica, según tipo de enseñanza y último curso aprobado</t>
  </si>
  <si>
    <t>78</t>
  </si>
  <si>
    <t>Población de 12 años y más económicamente activa, por grupos principales de ocupación, según sexo y grupos quinquenales de edad</t>
  </si>
  <si>
    <t>80</t>
  </si>
  <si>
    <t>Población de 12 años y más económicamente activa, por grupos principales de ocupación, según sexo y provincias</t>
  </si>
  <si>
    <t>86</t>
  </si>
  <si>
    <t>Población de 12 años y más económicamente activa, por grupos principales de ocupación, según estado civil y grupos de edad</t>
  </si>
  <si>
    <t>Población de 12 años y más económicamente activa, por grupos principales de ocupación, según sexo y estado civil</t>
  </si>
  <si>
    <t>95</t>
  </si>
  <si>
    <t>32</t>
  </si>
  <si>
    <t>Población de 12 años y más económicamente activa, por grupos principales de ocupación, según tipo de enseñanza y último curso aprobado</t>
  </si>
  <si>
    <t>101</t>
  </si>
  <si>
    <t>33</t>
  </si>
  <si>
    <t>Población de 12 años y más económicamente activa, por rama de actividad económica, según grupos principales, y sub grupos de ocupación</t>
  </si>
  <si>
    <t>Población de 12 años y más económicamente activa, por categoría de ocupación, según sexo y rama de actividad económica</t>
  </si>
  <si>
    <t>Población de 12 años y más económicamente activa, por categoría de ocupación, según grupos principales y sub grupos de ocupación</t>
  </si>
  <si>
    <t>Población de 12 años y más económicamente activa, por tipo de actividad y sexo, según grupos quinquenales de edad</t>
  </si>
  <si>
    <t>Población de 12 años y más económicamente inactiva, por tipo de actividad, según sexo y grupos quinquenales de edad</t>
  </si>
  <si>
    <t>131</t>
  </si>
  <si>
    <t>Población femenina de 15 años y más por años de estudio aprobados, área urbana y rural, según número de hijos tenidos vivos y muertos y grupos quinquenales de edad</t>
  </si>
  <si>
    <t>133</t>
  </si>
  <si>
    <t>Población femenina de 15 años y más por estado civil y tipo de actividad, según número de hijos tenidos vivos y muertos y grupos quinquenales de edad</t>
  </si>
  <si>
    <t>140</t>
  </si>
  <si>
    <t>Población femenina de 15 años y más por años de estudio aprobados y área urbana y rural, según número de hijos actualmente vivos y grupos quinquenales de edad</t>
  </si>
  <si>
    <t>146</t>
  </si>
  <si>
    <t>Población femenina de 15 años y más por estado civil y tipo de actividad, según número de hijos actualmente vivos y grupos quinquenales de edad</t>
  </si>
  <si>
    <t>Reproducción de la Cédula de Empadronamiento del XIV Censo de Población y III de Vivienda</t>
  </si>
  <si>
    <t>Introducción - Capítulo I</t>
  </si>
  <si>
    <t>Conceptos y definiciones utilizados</t>
  </si>
  <si>
    <t>Introducción - Capítulo II</t>
  </si>
  <si>
    <t>Códigos de grupos y subgrupos de ocupación</t>
  </si>
  <si>
    <t>VI</t>
  </si>
  <si>
    <t>Códigos de gran división y división de rama de actividad económica</t>
  </si>
  <si>
    <t>IX</t>
  </si>
  <si>
    <t>Introducción - Capítulo III</t>
  </si>
  <si>
    <t>Breve análisis de las cifras</t>
  </si>
  <si>
    <t>XII</t>
  </si>
  <si>
    <t>Características personales</t>
  </si>
  <si>
    <t>Población total, por sexo e índice de masculinidad, según división geográfica</t>
  </si>
  <si>
    <t>1982</t>
  </si>
  <si>
    <t>Tres secciones: TOTAL (PDF 40-61), URBANO (PDF 62-83) y RURAL (PDF 84-104). Transcrito en digitalizacion/1982/pub_1982_v1_c1_01.csv.</t>
  </si>
  <si>
    <t>Población total, por sexo, índice de masculinidad y distribución porcentual, según grupos quinquenales, años simples de edad y área urbana-rural</t>
  </si>
  <si>
    <t>PDF 105-119 (TOTAL, URBANO, RURAL). Transcrito en digitalizacion/1982/pub_1982_v1_c1_03.csv (sin índice ni porcentajes).</t>
  </si>
  <si>
    <t>1.04</t>
  </si>
  <si>
    <t>Población de 15 años y más, por estado civil, según grupos de edad, sexo y área urbana-rural</t>
  </si>
  <si>
    <t>Características de la fecundidad</t>
  </si>
  <si>
    <t>2.01</t>
  </si>
  <si>
    <t>Población femenina de 15 años y más, por número de hijos nacidos vivos y promedio de hijos por cada 100 mujeres, según grupos de edad y área urbana-rural</t>
  </si>
  <si>
    <t>2.02</t>
  </si>
  <si>
    <t>Población femenina de 15 años y más, por años de estudio aprobados, según grupos de edad, número de hijos nacidos vivos tenidos y área urbana-rural</t>
  </si>
  <si>
    <t>2.04</t>
  </si>
  <si>
    <t>Población femenina de 15 años y más, por estado civil y tipo de actividad, según grupos de edad, número de hijos nacidos vivos tenidos y área urbana-rural</t>
  </si>
  <si>
    <t>2.07</t>
  </si>
  <si>
    <t>Población femenina de 15 a 55 años, por número total de hijos nacidos vivos e hijos nacidos vivos en el último año, según grupos de edad y años de estudio aprobados</t>
  </si>
  <si>
    <t>156</t>
  </si>
  <si>
    <t>Características de la migración</t>
  </si>
  <si>
    <t>3.03</t>
  </si>
  <si>
    <t>Población nacida en el extranjero, por tipo de residencia y grupos de edad, según continente, país de nacimiento y sexo</t>
  </si>
  <si>
    <t>174</t>
  </si>
  <si>
    <t>3.05</t>
  </si>
  <si>
    <t>Población de 5 años y más no migrante y migrante, por región de residencia habitual en 1977, según grupos de edad y región de residencia habitual actual</t>
  </si>
  <si>
    <t>192</t>
  </si>
  <si>
    <t>Características ocupacionales</t>
  </si>
  <si>
    <t>4.01</t>
  </si>
  <si>
    <t>Población de 15 años y más, por tipo de actividad y área urbana-rural, según grupos de edad y sexo</t>
  </si>
  <si>
    <t>228</t>
  </si>
  <si>
    <t>4.02</t>
  </si>
  <si>
    <t>Población de 15 años y más económicamente activa, por rama de actividad económica, según años de estudio aprobados y sexo</t>
  </si>
  <si>
    <t>4.03A</t>
  </si>
  <si>
    <t>Población de 15 años y más ocupada, por rama de actividad económica, según años de estudio aprobados y sexo</t>
  </si>
  <si>
    <t>238</t>
  </si>
  <si>
    <t>4.03B</t>
  </si>
  <si>
    <t>Población de 15 años y más desocupada, por rama de actividad económica, según años de estudio aprobados y sexo</t>
  </si>
  <si>
    <t>242</t>
  </si>
  <si>
    <t>4.04</t>
  </si>
  <si>
    <t>Población de 15 años y más económicamente activa, por grupos de edad, según gran división, división de rama de actividad económica y sexo</t>
  </si>
  <si>
    <t>246</t>
  </si>
  <si>
    <t>4.05A</t>
  </si>
  <si>
    <t>Población de 15 años y más ocupada, por grupos de edad, según gran división, división de rama de actividad económica y sexo</t>
  </si>
  <si>
    <t>4.05B</t>
  </si>
  <si>
    <t>Población de 15 años y más desocupada, por grupos de edad, según gran división, división de rama de actividad económica y sexo</t>
  </si>
  <si>
    <t>pub_1982_v2</t>
  </si>
  <si>
    <t>Capítulo I</t>
  </si>
  <si>
    <t>Pág. I (romana).</t>
  </si>
  <si>
    <t>Capítulo II</t>
  </si>
  <si>
    <t>Códigos de grupos y subgrupos de ocupación; códigos de gran división y división de rama de actividad económica</t>
  </si>
  <si>
    <t>Págs. VI-IX (romanas).</t>
  </si>
  <si>
    <t>4.06</t>
  </si>
  <si>
    <t>Población de 15 años y más económicamente activa, por grupos de edad, según grupos, subgrupos de ocupación y sexo</t>
  </si>
  <si>
    <t>4.07A</t>
  </si>
  <si>
    <t>Población de 15 años y más ocupada, por grupos de edad, según grupos, subgrupos de ocupación y sexo</t>
  </si>
  <si>
    <t>4.07B</t>
  </si>
  <si>
    <t>Población de 15 años y más desocupada, por grupos de edad, según grupos, subgrupos de ocupación y sexo</t>
  </si>
  <si>
    <t>110</t>
  </si>
  <si>
    <t>4.08</t>
  </si>
  <si>
    <t>Población de 15 años y más económicamente activa, por grupos de ocupación, según años de estudio aprobados y sexo</t>
  </si>
  <si>
    <t>4.09A</t>
  </si>
  <si>
    <t>Población de 15 años y más ocupada, por grupos de ocupación, según años de estudio aprobados y sexo</t>
  </si>
  <si>
    <t>4.09B</t>
  </si>
  <si>
    <t>Población de 15 años y más desocupada, por grupos de ocupación, según años de estudio aprobados y sexo</t>
  </si>
  <si>
    <t>168</t>
  </si>
  <si>
    <t>4.12</t>
  </si>
  <si>
    <t>Población femenina de 15 años y más económicamente activa, por grupos de ocupación, según grupos de edad, años de estudio aprobados y estado civil</t>
  </si>
  <si>
    <t>4.13</t>
  </si>
  <si>
    <t>Población de 15 años y más económicamente activa, por categoría de ocupación, según gran división de rama de actividad económica y años de estudio aprobados</t>
  </si>
  <si>
    <t>4.14A</t>
  </si>
  <si>
    <t>Población de 15 años y más ocupada, por categoría de ocupación, según gran división de rama de actividad económica y años de estudio aprobados</t>
  </si>
  <si>
    <t>226</t>
  </si>
  <si>
    <t>4.14B</t>
  </si>
  <si>
    <t>Población de 15 años y más desocupada, por categoría de ocupación, según gran división de rama de actividad económica y años de estudio aprobados</t>
  </si>
  <si>
    <t>4.15</t>
  </si>
  <si>
    <t>Población de 15 años y más económicamente activa, por categoría de ocupación, según grupos y subgrupos de ocupación</t>
  </si>
  <si>
    <t>256</t>
  </si>
  <si>
    <t>4.17</t>
  </si>
  <si>
    <t>Población de 15 años y más, por tipo de actividad, según sexo y grupos de edad</t>
  </si>
  <si>
    <t>264</t>
  </si>
  <si>
    <t>4.18</t>
  </si>
  <si>
    <t>Población de 15 años y más por tipo de actividad, según clasificación geográfica</t>
  </si>
  <si>
    <t>5.01</t>
  </si>
  <si>
    <t>Población de 10 años y más, por condición de alfabetismo, sexo y porcentaje de alfabetismo, según grupos de edad y área</t>
  </si>
  <si>
    <t>316</t>
  </si>
  <si>
    <t>5.02</t>
  </si>
  <si>
    <t>Población de 5 años y más, por grupos de edad, según años de estudio aprobados y sexo</t>
  </si>
  <si>
    <t>5.03</t>
  </si>
  <si>
    <t>Población de 5 años y más, por asistencia a instituciones de enseñanza regular y porcentaje de asistencia, según grupos de edad y sexo</t>
  </si>
  <si>
    <t>328</t>
  </si>
  <si>
    <t>5.04</t>
  </si>
  <si>
    <t>Población de 5 años y más que asiste a instituciones de enseñanza regular, por grupos de edad, según nivel de instrucción, curso al que asiste y sexo</t>
  </si>
  <si>
    <t>pub_1982_v3</t>
  </si>
  <si>
    <t>Conceptos y definiciones; categorización de las viviendas; códigos de ocupación y de rama de actividad económica</t>
  </si>
  <si>
    <t>Págs. I-XXVIII (romanas).</t>
  </si>
  <si>
    <t>Pág. XXIX (romana).</t>
  </si>
  <si>
    <t>Vivienda</t>
  </si>
  <si>
    <t>Viviendas, hogares y personas, por condición de ocupación de la vivienda, según tipo de vivienda y área urbana-rural</t>
  </si>
  <si>
    <t>1.02</t>
  </si>
  <si>
    <t>Viviendas particulares desocupadas, por tipo de desocupación, según tipo de vivienda y área urbana-rural</t>
  </si>
  <si>
    <t>Viviendas particulares ocupadas con personas presentes, por material de construcción predominante de la cubierta del techo, según material predominante de las paredes exteriores y del piso</t>
  </si>
  <si>
    <t>Viviendas particulares ocupadas con personas presentes, por material de construcción predominante de la cubierta del techo, según material predominante de las paredes exteriores y del piso (cifras relativas)</t>
  </si>
  <si>
    <t>Viviendas particulares ocupadas con personas presentes, por categoría de la vivienda, según tipo de vivienda y área urbana-rural</t>
  </si>
  <si>
    <t>Viviendas particulares ocupadas con personas presentes, por categoría de la vivienda, según tipo de vivienda y área urbana-rural (cifras relativas)</t>
  </si>
  <si>
    <t>1.05</t>
  </si>
  <si>
    <t>Viviendas particulares ocupadas con personas presentes, por tipo de vivienda, según disponibilidad, origen del agua y área urbana-rural</t>
  </si>
  <si>
    <t>Viviendas particulares ocupadas con personas presentes, por tipo de vivienda, según disponibilidad, origen del agua y área urbana-rural (cifras relativas)</t>
  </si>
  <si>
    <t>1.06</t>
  </si>
  <si>
    <t>Viviendas particulares ocupadas con personas presentes, por tipo de vivienda, según disponibilidad de alumbrado eléctrico, agua y área urbana-rural</t>
  </si>
  <si>
    <t>Hogar</t>
  </si>
  <si>
    <t>Hogares particulares con personas presentes, por tipo de vivienda, según disponibilidad de retrete, eliminación de aguas servidas y área urbana-rural</t>
  </si>
  <si>
    <t>Hogares particulares con personas presentes, por tipo de vivienda, según disponibilidad de retrete, eliminación de aguas servidas y área urbana-rural (cifras relativas)</t>
  </si>
  <si>
    <t>Hogares particulares con personas presentes en viviendas permanentes y semipermanentes, por disponibilidad de ducha o tina, según tipo de vivienda y área urbana-rural</t>
  </si>
  <si>
    <t>2.03</t>
  </si>
  <si>
    <t>Hogares particulares con personas presentes, por tipo de vivienda, según disponibilidad de agua, alumbrado eléctrico, ducha o tina, retrete y área urbana-rural</t>
  </si>
  <si>
    <t>Hogares particulares con personas presentes, por tipo de vivienda, según disponibilidad de agua, alumbrado eléctrico, ducha o tina, retrete y área urbana-rural (cifras relativas)</t>
  </si>
  <si>
    <t>Hogares particulares con personas presentes, en viviendas permanentes y semipermanentes, por condición de tenencia, según tipo de vivienda y área urbana-rural</t>
  </si>
  <si>
    <t>2.05</t>
  </si>
  <si>
    <t>Hogares particulares con personas presentes, en viviendas permanentes y semipermanentes, por disponibilidad de pieza de cocina y combustible usado para cocinar, según tipo de vivienda y área urbana-rural</t>
  </si>
  <si>
    <t>Hogares particulares con personas presentes, en viviendas permanentes y semipermanentes, por disponibilidad de pieza de cocina y combustible usado para cocinar, según tipo de vivienda y área urbana-rural (cifras relativas)</t>
  </si>
  <si>
    <t>2.06</t>
  </si>
  <si>
    <t>Hogares particulares con personas presentes, en viviendas permanentes y semipermanentes, por número de personas en el hogar, según tipo de vivienda, número de dormitorios del hogar y área urbana-rural</t>
  </si>
  <si>
    <t>Hogares particulares con personas presentes, en viviendas permanentes y semipermanentes, por número de personas en el hogar, según tipo de vivienda, número de dormitorios del hogar y área urbana-rural (cifras relativas)</t>
  </si>
  <si>
    <t>Hogares particulares con personas presentes, en viviendas permanentes y semipermanentes, por número y promedio de personas por hogar, según tipo de vivienda, número de piezas residenciales por hogar y área urbana-rural</t>
  </si>
  <si>
    <t>2.08</t>
  </si>
  <si>
    <t>Hogares particulares con personas presentes, en viviendas permanentes y semipermanentes, por número de personas en el hogar, según tipo de vivienda, número de camas del hogar y área urbana-rural</t>
  </si>
  <si>
    <t>96</t>
  </si>
  <si>
    <t>2.09</t>
  </si>
  <si>
    <t>Hogares particulares con personas presentes, por equipamiento del hogar, según tipo de vivienda y área urbana-rural</t>
  </si>
  <si>
    <t>Hogares particulares con personas presentes, por equipamiento del hogar, según tipo de vivienda y área urbana-rural (cifras relativas)</t>
  </si>
  <si>
    <t>2.11</t>
  </si>
  <si>
    <t>Hogares particulares con personas presentes y jefe de hogar económicamente activo, personas en hogares particulares, por tipo de vivienda, según sexo y grupos de ocupación del jefe de hogar</t>
  </si>
  <si>
    <t>Familia</t>
  </si>
  <si>
    <t>3.01</t>
  </si>
  <si>
    <t>Número de familias y de personas, por tipo de familia, según sexo, grupos de edad del jefe de hogar y área urbana-rural</t>
  </si>
  <si>
    <t>122</t>
  </si>
  <si>
    <t>Número de familias con jefe de hogar no económicamente activo y de personas, por tipo de familia, según sexo, tipo de actividad, años de estudio aprobados del jefe de hogar y área urbana-rural</t>
  </si>
  <si>
    <t>3.08</t>
  </si>
  <si>
    <t>3.09</t>
  </si>
  <si>
    <t>Número de familias y de personas, por tipo de familia, según sexo, estado civil, grupos de edad del jefe de hogar y área urbana-rural</t>
  </si>
  <si>
    <t>3.10</t>
  </si>
  <si>
    <t>Número de familias y de personas, por tipo de familia, según tipo de familia y área urbana-rural</t>
  </si>
  <si>
    <t>176</t>
  </si>
  <si>
    <t>3.13</t>
  </si>
  <si>
    <t>Número de jefes de hogar y de otros miembros de la familia, por relación de parentesco con el jefe, según sexo, años de estudio aprobados, grupos de edad del jefe y área urbana-rural</t>
  </si>
  <si>
    <t>3.14</t>
  </si>
  <si>
    <t>Número de jefes de hogar y de otros miembros de la familia, por grupos de edad y tipo de actividad de los otros miembros, según sexo, tipo de actividad, años de estudio aprobados y grupos de edad del jefe de hogar</t>
  </si>
  <si>
    <t>3.15</t>
  </si>
  <si>
    <t>Número de familias y de personas por tipo de familia y sexo de las personas, según sexo, tipo de actividad, grupos de edad del jefe de hogar y tamaño de la familia</t>
  </si>
  <si>
    <t>204</t>
  </si>
  <si>
    <t>3.19</t>
  </si>
  <si>
    <t>Familias completas, por sexo del jefe de hogar y participación laboral de los cónyuges, según tipo de familia y grupos de edad del jefe de hogar</t>
  </si>
  <si>
    <t>3.21</t>
  </si>
  <si>
    <t>Familias completas, por sexo del jefe de hogar y participación laboral de los cónyuges, según grupos de edad del jefe de hogar y tamaño de la familia</t>
  </si>
  <si>
    <t>230</t>
  </si>
  <si>
    <t>3.23</t>
  </si>
  <si>
    <t>Población femenina de 15 años y más, por tipo de familia, según tipo de actividad, estado civil y área urbana-rural</t>
  </si>
  <si>
    <t>pub_1992</t>
  </si>
  <si>
    <t>Conceptos geográfico-censales</t>
  </si>
  <si>
    <t>Conceptos censales</t>
  </si>
  <si>
    <t>Notas</t>
  </si>
  <si>
    <t>I Parte: Población y viviendas según región, provincia y comuna</t>
  </si>
  <si>
    <t>Población por sexo, grupos de edad, nivel de instrucción y ocupación por sector económico, según región, provincia y comuna</t>
  </si>
  <si>
    <t>Página de inicio de la sección.</t>
  </si>
  <si>
    <t>Caracterización de las viviendas según región, provincia y comuna</t>
  </si>
  <si>
    <t>II Parte: Población y viviendas según entidad poblada: ciudades, pueblos y aldeas</t>
  </si>
  <si>
    <t>Población por sexo, grupos de edad, nivel de instrucción y ocupación por sector económico, según región y entidad poblada</t>
  </si>
  <si>
    <t>Caracterización de las viviendas, según región y entidad poblada</t>
  </si>
  <si>
    <t>III Parte: Población y viviendas según entidad poblada ordenadas por tamaño poblacional</t>
  </si>
  <si>
    <t>Población, viviendas y hogares, según tamaño de la entidad poblada</t>
  </si>
  <si>
    <t>Orden</t>
  </si>
  <si>
    <t>Nivel en el catálogo</t>
  </si>
  <si>
    <t>Nombre</t>
  </si>
  <si>
    <t>Entidad</t>
  </si>
  <si>
    <t>Distrito</t>
  </si>
  <si>
    <t>Comuna</t>
  </si>
  <si>
    <t>Parroquia</t>
  </si>
  <si>
    <t>Partido</t>
  </si>
  <si>
    <t>Departamento</t>
  </si>
  <si>
    <t>Provincia</t>
  </si>
  <si>
    <t>Región</t>
  </si>
  <si>
    <t>País</t>
  </si>
  <si>
    <t>Censo de la publicación</t>
  </si>
  <si>
    <t>Título</t>
  </si>
  <si>
    <t>Censos que cubre</t>
  </si>
  <si>
    <t>Niveles territoriales</t>
  </si>
  <si>
    <t>Área</t>
  </si>
  <si>
    <t>Sexo</t>
  </si>
  <si>
    <t>Edad</t>
  </si>
  <si>
    <t>Filas</t>
  </si>
  <si>
    <t>Inconsistentes anotadas</t>
  </si>
  <si>
    <t>Archivo</t>
  </si>
  <si>
    <t>Censo de provincia, población por distritos de la provincia</t>
  </si>
  <si>
    <t>62–259</t>
  </si>
  <si>
    <t>Partido, Distrito</t>
  </si>
  <si>
    <t>digitalizacion/1813/pub_1813_distritos.csv</t>
  </si>
  <si>
    <t>Censo de provincia (total de su población), por partido</t>
  </si>
  <si>
    <t>digitalizacion/1813/pub_1813_provincias.csv</t>
  </si>
  <si>
    <t>Habitantes por departamento, con distinción del sexo y del estado (solteros y casados)</t>
  </si>
  <si>
    <t>82–105</t>
  </si>
  <si>
    <t>Provincia, Departamento</t>
  </si>
  <si>
    <t>digitalizacion/1835/pub_1835_departamentos.csv</t>
  </si>
  <si>
    <t>Clasificación de los habitantes por departamentos, según el sexo, edad, estado civil i grado de instrucción</t>
  </si>
  <si>
    <t>385–386</t>
  </si>
  <si>
    <t>País, Departamento</t>
  </si>
  <si>
    <t>digitalizacion/1865/pub_1865_p352.csv</t>
  </si>
  <si>
    <t>Clasificación de los habitantes por provincias, según el sexo, edad, estado civil i grado de instrucción</t>
  </si>
  <si>
    <t>393–394</t>
  </si>
  <si>
    <t>País, Provincia</t>
  </si>
  <si>
    <t>digitalizacion/1865/pub_1865_p360.csv</t>
  </si>
  <si>
    <t>Cuadro sinóptico de los censos de la República levantados en 1835, 1843, 1854 i 1865</t>
  </si>
  <si>
    <t>425</t>
  </si>
  <si>
    <t>1835–1865 (4 censos)</t>
  </si>
  <si>
    <t>País, Provincia, Departamento</t>
  </si>
  <si>
    <t>digitalizacion/1865/pub_1865_p392.csv</t>
  </si>
  <si>
    <t>Cuadro sinóptico de los censos de la República levantados en 1835, 1843, 1854 i 1865 (totales por provincia)</t>
  </si>
  <si>
    <t>digitalizacion/1865/pub_1865_p392_prov.csv</t>
  </si>
  <si>
    <t>Clasificacion de los habitantes, por departamentos i provincias ... Poblacion urbana i rural (total jeneral, urbana y rural)</t>
  </si>
  <si>
    <t>618–620</t>
  </si>
  <si>
    <t>digitalizacion/1875/pub_1875_cg_area.csv</t>
  </si>
  <si>
    <t>Clasificacion de los habitantes, por departamentos i provincias, segun el sexo, edad, estado civil i grado de instruccion</t>
  </si>
  <si>
    <t>digitalizacion/1875/pub_1875_cg_edad.csv</t>
  </si>
  <si>
    <t>Cuadro sinóptico de los censos de la República levantados en 1835, 1843, 1854, 1865 i 1875</t>
  </si>
  <si>
    <t>661–662</t>
  </si>
  <si>
    <t>1835–1875 (5 censos)</t>
  </si>
  <si>
    <t>digitalizacion/1875/pub_1875_p645.csv</t>
  </si>
  <si>
    <t>Cuadro sinóptico de los censos de la República levantados en 1835, 1843, 1854, 1865 i 1875 (totales por provincia)</t>
  </si>
  <si>
    <t>digitalizacion/1875/pub_1875_p645_prov.csv</t>
  </si>
  <si>
    <t>Clasificación de los habitantes por departamentos i provincias ... Población urbana i rural (total jeneral, urbana y rural)</t>
  </si>
  <si>
    <t>875–879</t>
  </si>
  <si>
    <t>digitalizacion/1885/pub_1885_cg_area.csv</t>
  </si>
  <si>
    <t>Clasificación de los habitantes por departamentos i provincias, según el sexo i la edad, desde un mes hasta cien años adelante</t>
  </si>
  <si>
    <t>872–876</t>
  </si>
  <si>
    <t>digitalizacion/1885/pub_1885_cg_edad.csv</t>
  </si>
  <si>
    <t>2459–2474</t>
  </si>
  <si>
    <t>digitalizacion/1895/pub_1895_cg_area.csv</t>
  </si>
  <si>
    <t>Clasificación de los habitantes por departamentos i provincias, según el sexo i edad, desde un mes hasta cien años adelante</t>
  </si>
  <si>
    <t>2455–2470</t>
  </si>
  <si>
    <t>digitalizacion/1895/pub_1895_cg_edad.csv</t>
  </si>
  <si>
    <t>Clasificación de los habitantes por subdelegaciones, según el sexo i edad, desde un mes hasta dos años (Colchagua; resumen por departamentos)</t>
  </si>
  <si>
    <t>1118</t>
  </si>
  <si>
    <t>digitalizacion/1895/pub_1895_colchagua_menores2.csv</t>
  </si>
  <si>
    <t>91–1211</t>
  </si>
  <si>
    <t>digitalizacion/1907/pub_1907_c1.csv</t>
  </si>
  <si>
    <t>Grado de instrucción con distinción de la edad i del sexo (por departamento)</t>
  </si>
  <si>
    <t>78–1214</t>
  </si>
  <si>
    <t>digitalizacion/1907/pub_1907_c7.csv</t>
  </si>
  <si>
    <t>16–17</t>
  </si>
  <si>
    <t>1865–1920 (6 censos)</t>
  </si>
  <si>
    <t>digitalizacion/1920/pub_1920_c01.csv</t>
  </si>
  <si>
    <t>19–20</t>
  </si>
  <si>
    <t>1895, 1907, 1920</t>
  </si>
  <si>
    <t>digitalizacion/1920/pub_1920_c03.csv</t>
  </si>
  <si>
    <t>21–22</t>
  </si>
  <si>
    <t>digitalizacion/1920/pub_1920_c04.csv</t>
  </si>
  <si>
    <t>249</t>
  </si>
  <si>
    <t>digitalizacion/1920/pub_1920_ec_edad.csv</t>
  </si>
  <si>
    <t>49–53</t>
  </si>
  <si>
    <t>1907, 1920, 1930</t>
  </si>
  <si>
    <t>País, Provincia, Departamento, Comuna</t>
  </si>
  <si>
    <t>digitalizacion/1930/pub_1930_c09.csv</t>
  </si>
  <si>
    <t>Población urbana y rural por provincias según los censos de 1895 a 1930</t>
  </si>
  <si>
    <t>1895–1930 (4 censos)</t>
  </si>
  <si>
    <t>digitalizacion/1930/pub_1930_c10.csv</t>
  </si>
  <si>
    <t>315</t>
  </si>
  <si>
    <t>digitalizacion/1930/pub_1930_edad4.csv</t>
  </si>
  <si>
    <t>Población urbana-rural por sexo según provincias, departamentos, comunas y distritos, con indicación del número de viviendas</t>
  </si>
  <si>
    <t>82–121</t>
  </si>
  <si>
    <t>Provincia, Departamento, Comuna</t>
  </si>
  <si>
    <t>digitalizacion/1940/pub_1940_p076.csv</t>
  </si>
  <si>
    <t>338–341</t>
  </si>
  <si>
    <t>digitalizacion/1940/pub_1940_p332.csv</t>
  </si>
  <si>
    <t>Cuadro comparativo de la población del país, por provincias y sexo desde el censo del año 1865 al de 1952</t>
  </si>
  <si>
    <t>35–36</t>
  </si>
  <si>
    <t>1865–1952 (9 censos)</t>
  </si>
  <si>
    <t>digitalizacion/1952/pub_1952_c05.csv</t>
  </si>
  <si>
    <t>Cuadro comparativo de la población del país, por provincias, sexo y grupos de edad, según los censos de 1865 y 1875</t>
  </si>
  <si>
    <t>36–38</t>
  </si>
  <si>
    <t>1865, 1875</t>
  </si>
  <si>
    <t>digitalizacion/1952/pub_1952_c06.csv</t>
  </si>
  <si>
    <t>Cuadro comparativo de la población del país, por grupos de edad desde el censo del año 1885 al de 1952</t>
  </si>
  <si>
    <t>1885–1952 (7 censos)</t>
  </si>
  <si>
    <t>digitalizacion/1952/pub_1952_c07.csv</t>
  </si>
  <si>
    <t>40–41</t>
  </si>
  <si>
    <t>digitalizacion/1952/pub_1952_c09.csv</t>
  </si>
  <si>
    <t>94</t>
  </si>
  <si>
    <t>digitalizacion/1952/pub_1952_cn01.csv</t>
  </si>
  <si>
    <t>100</t>
  </si>
  <si>
    <t>digitalizacion/1952/pub_1952_cn02.csv</t>
  </si>
  <si>
    <t>86–89</t>
  </si>
  <si>
    <t>digitalizacion/1952/pub_1952_cn04.csv</t>
  </si>
  <si>
    <t>102</t>
  </si>
  <si>
    <t>digitalizacion/1952/pub_1952_cn07.csv</t>
  </si>
  <si>
    <t>Población según censos 1940, 1952 y 1960, clasificada en urbana y rural, por provincias</t>
  </si>
  <si>
    <t>138</t>
  </si>
  <si>
    <t>1940, 1952, 1960</t>
  </si>
  <si>
    <t>digitalizacion/1960/pub_1960_c1_1_1.csv</t>
  </si>
  <si>
    <t>Población por sexo, clasificada en urbana y rural, por provincias</t>
  </si>
  <si>
    <t>142–143</t>
  </si>
  <si>
    <t>digitalizacion/1960/pub_1960_c1_2.csv</t>
  </si>
  <si>
    <t>Población según grupos de edades, por provincias</t>
  </si>
  <si>
    <t>144–145</t>
  </si>
  <si>
    <t>digitalizacion/1960/pub_1960_c1_2_1.csv</t>
  </si>
  <si>
    <t>digitalizacion/1960/pub_1960_c1_3.csv</t>
  </si>
  <si>
    <t>digitalizacion/1970/pub_1970_c03.csv</t>
  </si>
  <si>
    <t>digitalizacion/1970/pub_1970_c05.csv</t>
  </si>
  <si>
    <t>40–104</t>
  </si>
  <si>
    <t>País, Región, Provincia, Comuna</t>
  </si>
  <si>
    <t>digitalizacion/1982/pub_1982_v1_c1_01.csv</t>
  </si>
  <si>
    <t>digitalizacion/1982/pub_1982_v1_c1_03.csv</t>
  </si>
  <si>
    <t>Fuentes</t>
  </si>
  <si>
    <t>Catálogo</t>
  </si>
  <si>
    <t>metadatos/catalogo_cuadros.csv (cuadros, bloques por provincia y textos de cada publicación).</t>
  </si>
  <si>
    <t>productos/tabulados/tabulados_publicaciones.csv, generado por pipelines/tabulados_publicaciones.py desde los cuadros transcritos en digitalizacion/.</t>
  </si>
  <si>
    <t>metadatos/fuentes.yaml (paginas_pdf) o, si falta, el conteo del PDF.</t>
  </si>
  <si>
    <t>Estado y pendientes</t>
  </si>
  <si>
    <t>Escritos a mano desde docs/estado.md y docs/digitalizacion.md (texto en azul).</t>
  </si>
  <si>
    <t>Definiciones</t>
  </si>
  <si>
    <t>Bloque</t>
  </si>
  <si>
    <t>Conjunto de cuadros de una provincia sin índice propio (se catalogó el bloque, no cada cuadro).</t>
  </si>
  <si>
    <t>Página del PDF</t>
  </si>
  <si>
    <t>verificada = vista en la imagen; estimada = interpolada desde la página impresa; sin ubicar = desconocida; ausente = falta en el escaneo.</t>
  </si>
  <si>
    <t>Todas las cifras referidas a ese censo, de cualquier publicación. Incluye las celdas sin dato impresas como «-» o «..».</t>
  </si>
  <si>
    <t>Núcleo</t>
  </si>
  <si>
    <t>Población por territorio × área × sexo × edad: la estructura demográfica básica de cada censo.</t>
  </si>
  <si>
    <t>Nivel más fino: transcrito</t>
  </si>
  <si>
    <t>Nivel territorial más desagregado con cifras ya digitalizadas: total (sin área ni sexo), con área urbana/rural, con área × sexo y con sexo × edad.</t>
  </si>
  <si>
    <t>Nivel más fino: en los PDF</t>
  </si>
  <si>
    <t>Nivel más desagregado que traen las publicaciones, según las columnas censos_datos, nivel_territorial, variables y cobertura del catálogo (solo cuadros de población; no cuenta las páginas ausentes del escaneo). «(parcial)» = solo hay cuadros para parte del país. Orden de los niveles: entidad, distrito, comuna, parroquia, departamento, provincia, región, país.</t>
  </si>
  <si>
    <t>Cifras inconsistentes</t>
  </si>
  <si>
    <t>Cifras transcritas tal como están impresas que no cuadran con sus totales (erratas de la publicación), anotadas en el YAML de cada cuadro.</t>
  </si>
  <si>
    <t>Fuera de esta planilla</t>
  </si>
  <si>
    <t>1992 a 2024 se trabajan desde microdatos (ver docs/estado.md).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</si>
</sst>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\-#,##0;\-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4"/>
      <name val="Arial"/>
    </font>
    <font>
      <i/>
      <sz val="9"/>
      <color rgb="FF595959"/>
      <name val="Arial"/>
    </font>
    <font>
      <sz val="10"/>
      <color rgb="FF0000FF"/>
      <name val="Arial"/>
    </font>
    <font>
      <b/>
      <sz val="11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F3F8FC"/>
      </patternFill>
    </fill>
    <fill>
      <patternFill patternType="solid">
        <fgColor rgb="FFFFEB9C"/>
      </patternFill>
    </fill>
    <fill>
      <patternFill patternType="solid">
        <fgColor rgb="FFD9D9D9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DDEBF7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0" borderId="0" xfId="0" applyFont="1"/>
    <xf numFmtId="0" fontId="5" fillId="0" borderId="0" xfId="0" applyFont="1"/>
    <xf numFmtId="0" fontId="1" fillId="2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164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6" fillId="6" borderId="1" xfId="0" applyFont="1" applyFill="1" applyBorder="1" applyAlignment="1">
      <alignment vertical="top"/>
    </xf>
    <xf numFmtId="0" fontId="6" fillId="0" borderId="1" xfId="0" applyFont="1" applyBorder="1" applyAlignment="1">
      <alignment vertical="top" wrapText="1"/>
    </xf>
    <xf numFmtId="0" fontId="6" fillId="7" borderId="1" xfId="0" applyFont="1" applyFill="1" applyBorder="1" applyAlignment="1">
      <alignment vertical="top"/>
    </xf>
    <xf numFmtId="0" fontId="6" fillId="8" borderId="1" xfId="0" applyFont="1" applyFill="1" applyBorder="1" applyAlignment="1">
      <alignment vertical="top"/>
    </xf>
    <xf numFmtId="0" fontId="6" fillId="9" borderId="1" xfId="0" applyFont="1" applyFill="1" applyBorder="1" applyAlignment="1">
      <alignment vertical="top"/>
    </xf>
    <xf numFmtId="0" fontId="6" fillId="10" borderId="1" xfId="0" applyFont="1" applyFill="1" applyBorder="1" applyAlignment="1">
      <alignment vertical="top"/>
    </xf>
    <xf numFmtId="0" fontId="3" fillId="0" borderId="0" xfId="0" applyFont="1"/>
    <xf numFmtId="164" fontId="3" fillId="3" borderId="0" xfId="0" applyNumberFormat="1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164" fontId="2" fillId="0" borderId="0" xfId="0" applyNumberFormat="1" applyFont="1" applyAlignment="1">
      <alignment vertical="top"/>
    </xf>
    <xf numFmtId="164" fontId="3" fillId="3" borderId="0" xfId="0" applyNumberFormat="1" applyFont="1" applyFill="1"/>
    <xf numFmtId="0" fontId="7" fillId="0" borderId="0" xfId="0" applyFont="1"/>
    <xf numFmtId="0" fontId="2" fillId="8" borderId="0" xfId="0" applyFont="1" applyFill="1"/>
    <xf numFmtId="0" fontId="0" fillId="0" borderId="0" xfId="0"/>
    <xf numFmtId="0" fontId="2" fillId="9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11" borderId="0" xfId="0" applyFont="1" applyFill="1"/>
    <xf numFmtId="0" fontId="2" fillId="10" borderId="0" xfId="0" applyFont="1" applyFill="1"/>
  </cellXfs>
  <cellStyles count="1">
    <cellStyle name="Normal" xfId="0" builtinId="0"/>
  </cellStyles>
  <dxfs count="1">
    <dxf>
      <font>
        <sz val="10"/>
        <color rgb="FFA6A6A6"/>
        <name val="Arial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0"/>
  <sheetViews>
    <sheetView tabSelected="1"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8" customWidth="1"/>
    <col min="2" max="2" width="16" customWidth="1"/>
    <col min="3" max="3" width="10" customWidth="1"/>
    <col min="4" max="4" width="11" customWidth="1"/>
    <col min="5" max="6" width="9" customWidth="1"/>
    <col min="7" max="7" width="8" customWidth="1"/>
    <col min="8" max="10" width="11" customWidth="1"/>
    <col min="11" max="12" width="12" customWidth="1"/>
    <col min="13" max="13" width="13" customWidth="1"/>
    <col min="14" max="14" width="15" customWidth="1"/>
    <col min="15" max="15" width="13" customWidth="1"/>
    <col min="16" max="16" width="15" customWidth="1"/>
    <col min="17" max="17" width="13" customWidth="1"/>
    <col min="18" max="18" width="15" customWidth="1"/>
    <col min="19" max="19" width="13" customWidth="1"/>
    <col min="20" max="20" width="15" customWidth="1"/>
    <col min="21" max="21" width="12" customWidth="1"/>
    <col min="22" max="22" width="20" customWidth="1"/>
    <col min="23" max="23" width="52" customWidth="1"/>
    <col min="24" max="24" width="60" customWidth="1"/>
  </cols>
  <sheetData>
    <row r="1" spans="1:24" ht="18" x14ac:dyDescent="0.25">
      <c r="A1" s="1" t="s">
        <v>0</v>
      </c>
    </row>
    <row r="2" spans="1:24" x14ac:dyDescent="0.25">
      <c r="A2" s="2" t="s">
        <v>1</v>
      </c>
    </row>
    <row r="4" spans="1:24" ht="56.1" customHeigh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4" t="s">
        <v>15</v>
      </c>
      <c r="O4" s="3" t="s">
        <v>16</v>
      </c>
      <c r="P4" s="4" t="s">
        <v>17</v>
      </c>
      <c r="Q4" s="3" t="s">
        <v>18</v>
      </c>
      <c r="R4" s="4" t="s">
        <v>19</v>
      </c>
      <c r="S4" s="3" t="s">
        <v>20</v>
      </c>
      <c r="T4" s="4" t="s">
        <v>21</v>
      </c>
      <c r="U4" s="3" t="s">
        <v>22</v>
      </c>
      <c r="V4" s="3" t="s">
        <v>23</v>
      </c>
      <c r="W4" s="3" t="s">
        <v>24</v>
      </c>
      <c r="X4" s="3" t="s">
        <v>25</v>
      </c>
    </row>
    <row r="5" spans="1:24" ht="51" x14ac:dyDescent="0.25">
      <c r="A5" s="5">
        <v>1813</v>
      </c>
      <c r="B5" s="6" t="s">
        <v>26</v>
      </c>
      <c r="C5" s="7">
        <v>263</v>
      </c>
      <c r="D5" s="7">
        <f>COUNTIFS(Catálogo!$B$2:$B$648,$A5)</f>
        <v>31</v>
      </c>
      <c r="E5" s="7">
        <f>COUNTIFS(Catálogo!$B$2:$B$648,$A5,Catálogo!$F$2:$F$648,"cuadro")</f>
        <v>15</v>
      </c>
      <c r="F5" s="7">
        <f>COUNTIFS(Catálogo!$B$2:$B$648,$A5,Catálogo!$F$2:$F$648,"bloque")</f>
        <v>14</v>
      </c>
      <c r="G5" s="7">
        <f>COUNTIFS(Catálogo!$B$2:$B$648,$A5,Catálogo!$F$2:$F$648,"texto")</f>
        <v>2</v>
      </c>
      <c r="H5" s="7">
        <f>COUNTIFS(Catálogo!$B$2:$B$648,$A5,Catálogo!$I$2:$I$648,"verificada")</f>
        <v>31</v>
      </c>
      <c r="I5" s="7">
        <f>COUNTIFS(Catálogo!$B$2:$B$648,$A5,Catálogo!$I$2:$I$648,"estimada")</f>
        <v>0</v>
      </c>
      <c r="J5" s="7">
        <f>COUNTIFS(Catálogo!$B$2:$B$648,$A5,Catálogo!$I$2:$I$648,"desconocida")+COUNTIFS(Catálogo!$B$2:$B$648,$A5,Catálogo!$I$2:$I$648,"ausente")</f>
        <v>0</v>
      </c>
      <c r="K5" s="7">
        <f>COUNTIFS(Catálogo!$B$2:$B$648,$A5,Catálogo!$O$2:$O$648,"transcrito")</f>
        <v>14</v>
      </c>
      <c r="L5" s="7">
        <f>SUMIFS(Cifras!$H$2:$H$399,Cifras!$A$2:$A$399,$A5)</f>
        <v>596</v>
      </c>
      <c r="M5" s="8" t="str">
        <f>IF(COUNTIFS(Cifras!$A$2:$A$399,$A5,Cifras!$D$2:$D$399,"distrito")&gt;0,"Distrito",IF(COUNTIFS(Cifras!$A$2:$A$399,$A5,Cifras!$D$2:$D$399,"comuna")&gt;0,"Comuna",IF(COUNTIFS(Cifras!$A$2:$A$399,$A5,Cifras!$D$2:$D$399,"partido")&gt;0,"Partido",IF(COUNTIFS(Cifras!$A$2:$A$399,$A5,Cifras!$D$2:$D$399,"departamento")&gt;0,"Departamento",IF(COUNTIFS(Cifras!$A$2:$A$399,$A5,Cifras!$D$2:$D$399,"provincia")&gt;0,"Provincia",IF(COUNTIFS(Cifras!$A$2:$A$399,$A5,Cifras!$D$2:$D$399,"region")&gt;0,"Región",IF(COUNTIFS(Cifras!$A$2:$A$399,$A5,Cifras!$D$2:$D$399,"pais")&gt;0,"País","—")))))))</f>
        <v>Distrito</v>
      </c>
      <c r="N5" s="9" t="str">
        <f>IF(IFERROR(MATCH(TRUE,COUNTIFS(Catálogo!$J$2:$J$648,"*"&amp;$A5&amp;"*",Catálogo!$I$2:$I$648,"&lt;&gt;ausente",Catálogo!$M$2:$M$648,"completa",Catálogo!$Q$2:$Q$648,{1,2,3,4,5,6,7,8,9})&gt;0,0),0)&gt;0,INDEX(Niveles!$C$2:$C$10,IFERROR(MATCH(TRUE,COUNTIFS(Catálogo!$J$2:$J$648,"*"&amp;$A5&amp;"*",Catálogo!$I$2:$I$648,"&lt;&gt;ausente",Catálogo!$M$2:$M$648,"completa",Catálogo!$Q$2:$Q$648,{1,2,3,4,5,6,7,8,9})&gt;0,0),0))&amp;IF(AND(IFERROR(MATCH(TRUE,COUNTIFS(Catálogo!$J$2:$J$648,"*"&amp;$A5&amp;"*",Catálogo!$I$2:$I$648,"&lt;&gt;ausente",Catálogo!$M$2:$M$648,"parcial",Catálogo!$Q$2:$Q$648,{1,2,3,4,5,6,7,8,9})&gt;0,0),0)&gt;0,IFERROR(MATCH(TRUE,COUNTIFS(Catálogo!$J$2:$J$648,"*"&amp;$A5&amp;"*",Catálogo!$I$2:$I$648,"&lt;&gt;ausente",Catálogo!$M$2:$M$648,"parcial",Catálogo!$Q$2:$Q$648,{1,2,3,4,5,6,7,8,9})&gt;0,0),0)&lt;IFERROR(MATCH(TRUE,COUNTIFS(Catálogo!$J$2:$J$648,"*"&amp;$A5&amp;"*",Catálogo!$I$2:$I$648,"&lt;&gt;ausente",Catálogo!$M$2:$M$648,"completa",Catálogo!$Q$2:$Q$648,{1,2,3,4,5,6,7,8,9})&gt;0,0),0)),"; "&amp;LOWER(INDEX(Niveles!$C$2:$C$10,IFERROR(MATCH(TRUE,COUNTIFS(Catálogo!$J$2:$J$648,"*"&amp;$A5&amp;"*",Catálogo!$I$2:$I$648,"&lt;&gt;ausente",Catálogo!$M$2:$M$648,"parcial",Catálogo!$Q$2:$Q$648,{1,2,3,4,5,6,7,8,9})&gt;0,0),0)))&amp;" (parcial)",""),IF(IFERROR(MATCH(TRUE,COUNTIFS(Catálogo!$J$2:$J$648,"*"&amp;$A5&amp;"*",Catálogo!$I$2:$I$648,"&lt;&gt;ausente",Catálogo!$M$2:$M$648,"parcial",Catálogo!$Q$2:$Q$648,{1,2,3,4,5,6,7,8,9})&gt;0,0),0)&gt;0,INDEX(Niveles!$C$2:$C$10,IFERROR(MATCH(TRUE,COUNTIFS(Catálogo!$J$2:$J$648,"*"&amp;$A5&amp;"*",Catálogo!$I$2:$I$648,"&lt;&gt;ausente",Catálogo!$M$2:$M$648,"parcial",Catálogo!$Q$2:$Q$648,{1,2,3,4,5,6,7,8,9})&gt;0,0),0))&amp;" (parcial)","—"))</f>
        <v>Distrito (parcial)</v>
      </c>
      <c r="O5" s="8" t="str">
        <f>IF(COUNTIFS(Cifras!$A$2:$A$399,$A5,Cifras!$E$2:$E$399,"Sí",Cifras!$D$2:$D$399,"distrito")&gt;0,"Distrito",IF(COUNTIFS(Cifras!$A$2:$A$399,$A5,Cifras!$E$2:$E$399,"Sí",Cifras!$D$2:$D$399,"comuna")&gt;0,"Comuna",IF(COUNTIFS(Cifras!$A$2:$A$399,$A5,Cifras!$E$2:$E$399,"Sí",Cifras!$D$2:$D$399,"partido")&gt;0,"Partido",IF(COUNTIFS(Cifras!$A$2:$A$399,$A5,Cifras!$E$2:$E$399,"Sí",Cifras!$D$2:$D$399,"departamento")&gt;0,"Departamento",IF(COUNTIFS(Cifras!$A$2:$A$399,$A5,Cifras!$E$2:$E$399,"Sí",Cifras!$D$2:$D$399,"provincia")&gt;0,"Provincia",IF(COUNTIFS(Cifras!$A$2:$A$399,$A5,Cifras!$E$2:$E$399,"Sí",Cifras!$D$2:$D$399,"region")&gt;0,"Región",IF(COUNTIFS(Cifras!$A$2:$A$399,$A5,Cifras!$E$2:$E$399,"Sí",Cifras!$D$2:$D$399,"pais")&gt;0,"País","—")))))))</f>
        <v>—</v>
      </c>
      <c r="P5" s="9" t="str">
        <f>IF(IFERROR(MATCH(TRUE,COUNTIFS(Catálogo!$J$2:$J$648,"*"&amp;$A5&amp;"*",Catálogo!$I$2:$I$648,"&lt;&gt;ausente",Catálogo!$M$2:$M$648,"completa",Catálogo!$L$2:$L$648,"*area*",Catálogo!$Q$2:$Q$648,{1,2,3,4,5,6,7,8,9})&gt;0,0),0)&gt;0,INDEX(Niveles!$C$2:$C$10,IFERROR(MATCH(TRUE,COUNTIFS(Catálogo!$J$2:$J$648,"*"&amp;$A5&amp;"*",Catálogo!$I$2:$I$648,"&lt;&gt;ausente",Catálogo!$M$2:$M$648,"completa",Catálogo!$L$2:$L$648,"*area*",Catálogo!$Q$2:$Q$648,{1,2,3,4,5,6,7,8,9})&gt;0,0),0))&amp;IF(AND(IFERROR(MATCH(TRUE,COUNTIFS(Catálogo!$J$2:$J$648,"*"&amp;$A5&amp;"*",Catálogo!$I$2:$I$648,"&lt;&gt;ausente",Catálogo!$M$2:$M$648,"parcial",Catálogo!$L$2:$L$648,"*area*",Catálogo!$Q$2:$Q$648,{1,2,3,4,5,6,7,8,9})&gt;0,0),0)&gt;0,IFERROR(MATCH(TRUE,COUNTIFS(Catálogo!$J$2:$J$648,"*"&amp;$A5&amp;"*",Catálogo!$I$2:$I$648,"&lt;&gt;ausente",Catálogo!$M$2:$M$648,"parcial",Catálogo!$L$2:$L$648,"*area*",Catálogo!$Q$2:$Q$648,{1,2,3,4,5,6,7,8,9})&gt;0,0),0)&lt;IFERROR(MATCH(TRUE,COUNTIFS(Catálogo!$J$2:$J$648,"*"&amp;$A5&amp;"*",Catálogo!$I$2:$I$648,"&lt;&gt;ausente",Catálogo!$M$2:$M$648,"completa",Catálogo!$L$2:$L$648,"*area*",Catálogo!$Q$2:$Q$648,{1,2,3,4,5,6,7,8,9})&gt;0,0),0)),"; "&amp;LOWER(INDEX(Niveles!$C$2:$C$10,IFERROR(MATCH(TRUE,COUNTIFS(Catálogo!$J$2:$J$648,"*"&amp;$A5&amp;"*",Catálogo!$I$2:$I$648,"&lt;&gt;ausente",Catálogo!$M$2:$M$648,"parcial",Catálogo!$L$2:$L$648,"*area*",Catálogo!$Q$2:$Q$648,{1,2,3,4,5,6,7,8,9})&gt;0,0),0)))&amp;" (parcial)",""),IF(IFERROR(MATCH(TRUE,COUNTIFS(Catálogo!$J$2:$J$648,"*"&amp;$A5&amp;"*",Catálogo!$I$2:$I$648,"&lt;&gt;ausente",Catálogo!$M$2:$M$648,"parcial",Catálogo!$L$2:$L$648,"*area*",Catálogo!$Q$2:$Q$648,{1,2,3,4,5,6,7,8,9})&gt;0,0),0)&gt;0,INDEX(Niveles!$C$2:$C$10,IFERROR(MATCH(TRUE,COUNTIFS(Catálogo!$J$2:$J$648,"*"&amp;$A5&amp;"*",Catálogo!$I$2:$I$648,"&lt;&gt;ausente",Catálogo!$M$2:$M$648,"parcial",Catálogo!$L$2:$L$648,"*area*",Catálogo!$Q$2:$Q$648,{1,2,3,4,5,6,7,8,9})&gt;0,0),0))&amp;" (parcial)","—"))</f>
        <v>—</v>
      </c>
      <c r="Q5" s="8" t="str">
        <f>IF(COUNTIFS(Cifras!$A$2:$A$399,$A5,Cifras!$E$2:$E$399,"Sí",Cifras!$F$2:$F$399,"Sí",Cifras!$D$2:$D$399,"distrito")&gt;0,"Distrito",IF(COUNTIFS(Cifras!$A$2:$A$399,$A5,Cifras!$E$2:$E$399,"Sí",Cifras!$F$2:$F$399,"Sí",Cifras!$D$2:$D$399,"comuna")&gt;0,"Comuna",IF(COUNTIFS(Cifras!$A$2:$A$399,$A5,Cifras!$E$2:$E$399,"Sí",Cifras!$F$2:$F$399,"Sí",Cifras!$D$2:$D$399,"partido")&gt;0,"Partido",IF(COUNTIFS(Cifras!$A$2:$A$399,$A5,Cifras!$E$2:$E$399,"Sí",Cifras!$F$2:$F$399,"Sí",Cifras!$D$2:$D$399,"departamento")&gt;0,"Departamento",IF(COUNTIFS(Cifras!$A$2:$A$399,$A5,Cifras!$E$2:$E$399,"Sí",Cifras!$F$2:$F$399,"Sí",Cifras!$D$2:$D$399,"provincia")&gt;0,"Provincia",IF(COUNTIFS(Cifras!$A$2:$A$399,$A5,Cifras!$E$2:$E$399,"Sí",Cifras!$F$2:$F$399,"Sí",Cifras!$D$2:$D$399,"region")&gt;0,"Región",IF(COUNTIFS(Cifras!$A$2:$A$399,$A5,Cifras!$E$2:$E$399,"Sí",Cifras!$F$2:$F$399,"Sí",Cifras!$D$2:$D$399,"pais")&gt;0,"País","—")))))))</f>
        <v>—</v>
      </c>
      <c r="R5" s="9" t="str">
        <f>IF(IFERROR(MATCH(TRUE,COUNTIFS(Catálogo!$J$2:$J$648,"*"&amp;$A5&amp;"*",Catálogo!$I$2:$I$648,"&lt;&gt;ausente",Catálogo!$M$2:$M$648,"completa",Catálogo!$L$2:$L$648,"*area*",Catálogo!$L$2:$L$648,"*sexo*",Catálogo!$Q$2:$Q$648,{1,2,3,4,5,6,7,8,9})&gt;0,0),0)&gt;0,INDEX(Niveles!$C$2:$C$10,IFERROR(MATCH(TRUE,COUNTIFS(Catálogo!$J$2:$J$648,"*"&amp;$A5&amp;"*",Catálogo!$I$2:$I$648,"&lt;&gt;ausente",Catálogo!$M$2:$M$648,"completa",Catálogo!$L$2:$L$648,"*area*",Catálogo!$L$2:$L$648,"*sexo*",Catálogo!$Q$2:$Q$648,{1,2,3,4,5,6,7,8,9})&gt;0,0),0))&amp;IF(AND(IFERROR(MATCH(TRUE,COUNTIFS(Catálogo!$J$2:$J$648,"*"&amp;$A5&amp;"*",Catálogo!$I$2:$I$648,"&lt;&gt;ausente",Catálogo!$M$2:$M$648,"parcial",Catálogo!$L$2:$L$648,"*area*",Catálogo!$L$2:$L$648,"*sexo*",Catálogo!$Q$2:$Q$648,{1,2,3,4,5,6,7,8,9})&gt;0,0),0)&gt;0,IFERROR(MATCH(TRUE,COUNTIFS(Catálogo!$J$2:$J$648,"*"&amp;$A5&amp;"*",Catálogo!$I$2:$I$648,"&lt;&gt;ausente",Catálogo!$M$2:$M$648,"parcial",Catálogo!$L$2:$L$648,"*area*",Catálogo!$L$2:$L$648,"*sexo*",Catálogo!$Q$2:$Q$648,{1,2,3,4,5,6,7,8,9})&gt;0,0),0)&lt;IFERROR(MATCH(TRUE,COUNTIFS(Catálogo!$J$2:$J$648,"*"&amp;$A5&amp;"*",Catálogo!$I$2:$I$648,"&lt;&gt;ausente",Catálogo!$M$2:$M$648,"completa",Catálogo!$L$2:$L$648,"*area*",Catálogo!$L$2:$L$648,"*sexo*",Catálogo!$Q$2:$Q$648,{1,2,3,4,5,6,7,8,9})&gt;0,0),0)),"; "&amp;LOWER(INDEX(Niveles!$C$2:$C$10,IFERROR(MATCH(TRUE,COUNTIFS(Catálogo!$J$2:$J$648,"*"&amp;$A5&amp;"*",Catálogo!$I$2:$I$648,"&lt;&gt;ausente",Catálogo!$M$2:$M$648,"parcial",Catálogo!$L$2:$L$648,"*area*",Catálogo!$L$2:$L$648,"*sexo*",Catálogo!$Q$2:$Q$648,{1,2,3,4,5,6,7,8,9})&gt;0,0),0)))&amp;" (parcial)",""),IF(IFERROR(MATCH(TRUE,COUNTIFS(Catálogo!$J$2:$J$648,"*"&amp;$A5&amp;"*",Catálogo!$I$2:$I$648,"&lt;&gt;ausente",Catálogo!$M$2:$M$648,"parcial",Catálogo!$L$2:$L$648,"*area*",Catálogo!$L$2:$L$648,"*sexo*",Catálogo!$Q$2:$Q$648,{1,2,3,4,5,6,7,8,9})&gt;0,0),0)&gt;0,INDEX(Niveles!$C$2:$C$10,IFERROR(MATCH(TRUE,COUNTIFS(Catálogo!$J$2:$J$648,"*"&amp;$A5&amp;"*",Catálogo!$I$2:$I$648,"&lt;&gt;ausente",Catálogo!$M$2:$M$648,"parcial",Catálogo!$L$2:$L$648,"*area*",Catálogo!$L$2:$L$648,"*sexo*",Catálogo!$Q$2:$Q$648,{1,2,3,4,5,6,7,8,9})&gt;0,0),0))&amp;" (parcial)","—"))</f>
        <v>—</v>
      </c>
      <c r="S5" s="8" t="str">
        <f>IF(COUNTIFS(Cifras!$A$2:$A$399,$A5,Cifras!$F$2:$F$399,"Sí",Cifras!$G$2:$G$399,"Sí",Cifras!$D$2:$D$399,"distrito")&gt;0,"Distrito",IF(COUNTIFS(Cifras!$A$2:$A$399,$A5,Cifras!$F$2:$F$399,"Sí",Cifras!$G$2:$G$399,"Sí",Cifras!$D$2:$D$399,"comuna")&gt;0,"Comuna",IF(COUNTIFS(Cifras!$A$2:$A$399,$A5,Cifras!$F$2:$F$399,"Sí",Cifras!$G$2:$G$399,"Sí",Cifras!$D$2:$D$399,"partido")&gt;0,"Partido",IF(COUNTIFS(Cifras!$A$2:$A$399,$A5,Cifras!$F$2:$F$399,"Sí",Cifras!$G$2:$G$399,"Sí",Cifras!$D$2:$D$399,"departamento")&gt;0,"Departamento",IF(COUNTIFS(Cifras!$A$2:$A$399,$A5,Cifras!$F$2:$F$399,"Sí",Cifras!$G$2:$G$399,"Sí",Cifras!$D$2:$D$399,"provincia")&gt;0,"Provincia",IF(COUNTIFS(Cifras!$A$2:$A$399,$A5,Cifras!$F$2:$F$399,"Sí",Cifras!$G$2:$G$399,"Sí",Cifras!$D$2:$D$399,"region")&gt;0,"Región",IF(COUNTIFS(Cifras!$A$2:$A$399,$A5,Cifras!$F$2:$F$399,"Sí",Cifras!$G$2:$G$399,"Sí",Cifras!$D$2:$D$399,"pais")&gt;0,"País","—")))))))</f>
        <v>Partido</v>
      </c>
      <c r="T5" s="9" t="str">
        <f>IF(IFERROR(MATCH(TRUE,COUNTIFS(Catálogo!$J$2:$J$648,"*"&amp;$A5&amp;"*",Catálogo!$I$2:$I$648,"&lt;&gt;ausente",Catálogo!$M$2:$M$648,"completa",Catálogo!$L$2:$L$648,"*sexo*",Catálogo!$L$2:$L$648,"*edad*",Catálogo!$Q$2:$Q$648,{1,2,3,4,5,6,7,8,9})&gt;0,0),0)&gt;0,INDEX(Niveles!$C$2:$C$10,IFERROR(MATCH(TRUE,COUNTIFS(Catálogo!$J$2:$J$648,"*"&amp;$A5&amp;"*",Catálogo!$I$2:$I$648,"&lt;&gt;ausente",Catálogo!$M$2:$M$648,"completa",Catálogo!$L$2:$L$648,"*sexo*",Catálogo!$L$2:$L$648,"*edad*",Catálogo!$Q$2:$Q$648,{1,2,3,4,5,6,7,8,9})&gt;0,0),0))&amp;IF(AND(IFERROR(MATCH(TRUE,COUNTIFS(Catálogo!$J$2:$J$648,"*"&amp;$A5&amp;"*",Catálogo!$I$2:$I$648,"&lt;&gt;ausente",Catálogo!$M$2:$M$648,"parcial",Catálogo!$L$2:$L$648,"*sexo*",Catálogo!$L$2:$L$648,"*edad*",Catálogo!$Q$2:$Q$648,{1,2,3,4,5,6,7,8,9})&gt;0,0),0)&gt;0,IFERROR(MATCH(TRUE,COUNTIFS(Catálogo!$J$2:$J$648,"*"&amp;$A5&amp;"*",Catálogo!$I$2:$I$648,"&lt;&gt;ausente",Catálogo!$M$2:$M$648,"parcial",Catálogo!$L$2:$L$648,"*sexo*",Catálogo!$L$2:$L$648,"*edad*",Catálogo!$Q$2:$Q$648,{1,2,3,4,5,6,7,8,9})&gt;0,0),0)&lt;IFERROR(MATCH(TRUE,COUNTIFS(Catálogo!$J$2:$J$648,"*"&amp;$A5&amp;"*",Catálogo!$I$2:$I$648,"&lt;&gt;ausente",Catálogo!$M$2:$M$648,"completa",Catálogo!$L$2:$L$648,"*sexo*",Catálogo!$L$2:$L$648,"*edad*",Catálogo!$Q$2:$Q$648,{1,2,3,4,5,6,7,8,9})&gt;0,0),0)),"; "&amp;LOWER(INDEX(Niveles!$C$2:$C$10,IFERROR(MATCH(TRUE,COUNTIFS(Catálogo!$J$2:$J$648,"*"&amp;$A5&amp;"*",Catálogo!$I$2:$I$648,"&lt;&gt;ausente",Catálogo!$M$2:$M$648,"parcial",Catálogo!$L$2:$L$648,"*sexo*",Catálogo!$L$2:$L$648,"*edad*",Catálogo!$Q$2:$Q$648,{1,2,3,4,5,6,7,8,9})&gt;0,0),0)))&amp;" (parcial)",""),IF(IFERROR(MATCH(TRUE,COUNTIFS(Catálogo!$J$2:$J$648,"*"&amp;$A5&amp;"*",Catálogo!$I$2:$I$648,"&lt;&gt;ausente",Catálogo!$M$2:$M$648,"parcial",Catálogo!$L$2:$L$648,"*sexo*",Catálogo!$L$2:$L$648,"*edad*",Catálogo!$Q$2:$Q$648,{1,2,3,4,5,6,7,8,9})&gt;0,0),0)&gt;0,INDEX(Niveles!$C$2:$C$10,IFERROR(MATCH(TRUE,COUNTIFS(Catálogo!$J$2:$J$648,"*"&amp;$A5&amp;"*",Catálogo!$I$2:$I$648,"&lt;&gt;ausente",Catálogo!$M$2:$M$648,"parcial",Catálogo!$L$2:$L$648,"*sexo*",Catálogo!$L$2:$L$648,"*edad*",Catálogo!$Q$2:$Q$648,{1,2,3,4,5,6,7,8,9})&gt;0,0),0))&amp;" (parcial)","—"))</f>
        <v>Distrito (parcial)</v>
      </c>
      <c r="U5" s="7">
        <f>SUMIFS(Cifras!$J$2:$J$399,Cifras!$A$2:$A$399,$A5)</f>
        <v>0</v>
      </c>
      <c r="V5" s="10" t="s">
        <v>27</v>
      </c>
      <c r="W5" s="11" t="s">
        <v>28</v>
      </c>
      <c r="X5" s="11" t="s">
        <v>29</v>
      </c>
    </row>
    <row r="6" spans="1:24" ht="38.25" x14ac:dyDescent="0.25">
      <c r="A6" s="5">
        <v>1835</v>
      </c>
      <c r="B6" s="6" t="s">
        <v>30</v>
      </c>
      <c r="C6" s="7">
        <v>117</v>
      </c>
      <c r="D6" s="7">
        <f>COUNTIFS(Catálogo!$B$2:$B$648,$A6)</f>
        <v>15</v>
      </c>
      <c r="E6" s="7">
        <f>COUNTIFS(Catálogo!$B$2:$B$648,$A6,Catálogo!$F$2:$F$648,"cuadro")</f>
        <v>10</v>
      </c>
      <c r="F6" s="7">
        <f>COUNTIFS(Catálogo!$B$2:$B$648,$A6,Catálogo!$F$2:$F$648,"bloque")</f>
        <v>0</v>
      </c>
      <c r="G6" s="7">
        <f>COUNTIFS(Catálogo!$B$2:$B$648,$A6,Catálogo!$F$2:$F$648,"texto")</f>
        <v>5</v>
      </c>
      <c r="H6" s="7">
        <f>COUNTIFS(Catálogo!$B$2:$B$648,$A6,Catálogo!$I$2:$I$648,"verificada")</f>
        <v>1</v>
      </c>
      <c r="I6" s="7">
        <f>COUNTIFS(Catálogo!$B$2:$B$648,$A6,Catálogo!$I$2:$I$648,"estimada")</f>
        <v>14</v>
      </c>
      <c r="J6" s="7">
        <f>COUNTIFS(Catálogo!$B$2:$B$648,$A6,Catálogo!$I$2:$I$648,"desconocida")+COUNTIFS(Catálogo!$B$2:$B$648,$A6,Catálogo!$I$2:$I$648,"ausente")</f>
        <v>0</v>
      </c>
      <c r="K6" s="7">
        <f>COUNTIFS(Catálogo!$B$2:$B$648,$A6,Catálogo!$O$2:$O$648,"transcrito")</f>
        <v>9</v>
      </c>
      <c r="L6" s="7">
        <f>SUMIFS(Cifras!$H$2:$H$399,Cifras!$A$2:$A$399,$A6)</f>
        <v>430</v>
      </c>
      <c r="M6" s="8" t="str">
        <f>IF(COUNTIFS(Cifras!$A$2:$A$399,$A6,Cifras!$D$2:$D$399,"distrito")&gt;0,"Distrito",IF(COUNTIFS(Cifras!$A$2:$A$399,$A6,Cifras!$D$2:$D$399,"comuna")&gt;0,"Comuna",IF(COUNTIFS(Cifras!$A$2:$A$399,$A6,Cifras!$D$2:$D$399,"partido")&gt;0,"Partido",IF(COUNTIFS(Cifras!$A$2:$A$399,$A6,Cifras!$D$2:$D$399,"departamento")&gt;0,"Departamento",IF(COUNTIFS(Cifras!$A$2:$A$399,$A6,Cifras!$D$2:$D$399,"provincia")&gt;0,"Provincia",IF(COUNTIFS(Cifras!$A$2:$A$399,$A6,Cifras!$D$2:$D$399,"region")&gt;0,"Región",IF(COUNTIFS(Cifras!$A$2:$A$399,$A6,Cifras!$D$2:$D$399,"pais")&gt;0,"País","—")))))))</f>
        <v>Departamento</v>
      </c>
      <c r="N6" s="9" t="str">
        <f>IF(IFERROR(MATCH(TRUE,COUNTIFS(Catálogo!$J$2:$J$648,"*"&amp;$A6&amp;"*",Catálogo!$I$2:$I$648,"&lt;&gt;ausente",Catálogo!$M$2:$M$648,"completa",Catálogo!$Q$2:$Q$648,{1,2,3,4,5,6,7,8,9})&gt;0,0),0)&gt;0,INDEX(Niveles!$C$2:$C$10,IFERROR(MATCH(TRUE,COUNTIFS(Catálogo!$J$2:$J$648,"*"&amp;$A6&amp;"*",Catálogo!$I$2:$I$648,"&lt;&gt;ausente",Catálogo!$M$2:$M$648,"completa",Catálogo!$Q$2:$Q$648,{1,2,3,4,5,6,7,8,9})&gt;0,0),0))&amp;IF(AND(IFERROR(MATCH(TRUE,COUNTIFS(Catálogo!$J$2:$J$648,"*"&amp;$A6&amp;"*",Catálogo!$I$2:$I$648,"&lt;&gt;ausente",Catálogo!$M$2:$M$648,"parcial",Catálogo!$Q$2:$Q$648,{1,2,3,4,5,6,7,8,9})&gt;0,0),0)&gt;0,IFERROR(MATCH(TRUE,COUNTIFS(Catálogo!$J$2:$J$648,"*"&amp;$A6&amp;"*",Catálogo!$I$2:$I$648,"&lt;&gt;ausente",Catálogo!$M$2:$M$648,"parcial",Catálogo!$Q$2:$Q$648,{1,2,3,4,5,6,7,8,9})&gt;0,0),0)&lt;IFERROR(MATCH(TRUE,COUNTIFS(Catálogo!$J$2:$J$648,"*"&amp;$A6&amp;"*",Catálogo!$I$2:$I$648,"&lt;&gt;ausente",Catálogo!$M$2:$M$648,"completa",Catálogo!$Q$2:$Q$648,{1,2,3,4,5,6,7,8,9})&gt;0,0),0)),"; "&amp;LOWER(INDEX(Niveles!$C$2:$C$10,IFERROR(MATCH(TRUE,COUNTIFS(Catálogo!$J$2:$J$648,"*"&amp;$A6&amp;"*",Catálogo!$I$2:$I$648,"&lt;&gt;ausente",Catálogo!$M$2:$M$648,"parcial",Catálogo!$Q$2:$Q$648,{1,2,3,4,5,6,7,8,9})&gt;0,0),0)))&amp;" (parcial)",""),IF(IFERROR(MATCH(TRUE,COUNTIFS(Catálogo!$J$2:$J$648,"*"&amp;$A6&amp;"*",Catálogo!$I$2:$I$648,"&lt;&gt;ausente",Catálogo!$M$2:$M$648,"parcial",Catálogo!$Q$2:$Q$648,{1,2,3,4,5,6,7,8,9})&gt;0,0),0)&gt;0,INDEX(Niveles!$C$2:$C$10,IFERROR(MATCH(TRUE,COUNTIFS(Catálogo!$J$2:$J$648,"*"&amp;$A6&amp;"*",Catálogo!$I$2:$I$648,"&lt;&gt;ausente",Catálogo!$M$2:$M$648,"parcial",Catálogo!$Q$2:$Q$648,{1,2,3,4,5,6,7,8,9})&gt;0,0),0))&amp;" (parcial)","—"))</f>
        <v>Departamento</v>
      </c>
      <c r="O6" s="8" t="str">
        <f>IF(COUNTIFS(Cifras!$A$2:$A$399,$A6,Cifras!$E$2:$E$399,"Sí",Cifras!$D$2:$D$399,"distrito")&gt;0,"Distrito",IF(COUNTIFS(Cifras!$A$2:$A$399,$A6,Cifras!$E$2:$E$399,"Sí",Cifras!$D$2:$D$399,"comuna")&gt;0,"Comuna",IF(COUNTIFS(Cifras!$A$2:$A$399,$A6,Cifras!$E$2:$E$399,"Sí",Cifras!$D$2:$D$399,"partido")&gt;0,"Partido",IF(COUNTIFS(Cifras!$A$2:$A$399,$A6,Cifras!$E$2:$E$399,"Sí",Cifras!$D$2:$D$399,"departamento")&gt;0,"Departamento",IF(COUNTIFS(Cifras!$A$2:$A$399,$A6,Cifras!$E$2:$E$399,"Sí",Cifras!$D$2:$D$399,"provincia")&gt;0,"Provincia",IF(COUNTIFS(Cifras!$A$2:$A$399,$A6,Cifras!$E$2:$E$399,"Sí",Cifras!$D$2:$D$399,"region")&gt;0,"Región",IF(COUNTIFS(Cifras!$A$2:$A$399,$A6,Cifras!$E$2:$E$399,"Sí",Cifras!$D$2:$D$399,"pais")&gt;0,"País","—")))))))</f>
        <v>—</v>
      </c>
      <c r="P6" s="9" t="str">
        <f>IF(IFERROR(MATCH(TRUE,COUNTIFS(Catálogo!$J$2:$J$648,"*"&amp;$A6&amp;"*",Catálogo!$I$2:$I$648,"&lt;&gt;ausente",Catálogo!$M$2:$M$648,"completa",Catálogo!$L$2:$L$648,"*area*",Catálogo!$Q$2:$Q$648,{1,2,3,4,5,6,7,8,9})&gt;0,0),0)&gt;0,INDEX(Niveles!$C$2:$C$10,IFERROR(MATCH(TRUE,COUNTIFS(Catálogo!$J$2:$J$648,"*"&amp;$A6&amp;"*",Catálogo!$I$2:$I$648,"&lt;&gt;ausente",Catálogo!$M$2:$M$648,"completa",Catálogo!$L$2:$L$648,"*area*",Catálogo!$Q$2:$Q$648,{1,2,3,4,5,6,7,8,9})&gt;0,0),0))&amp;IF(AND(IFERROR(MATCH(TRUE,COUNTIFS(Catálogo!$J$2:$J$648,"*"&amp;$A6&amp;"*",Catálogo!$I$2:$I$648,"&lt;&gt;ausente",Catálogo!$M$2:$M$648,"parcial",Catálogo!$L$2:$L$648,"*area*",Catálogo!$Q$2:$Q$648,{1,2,3,4,5,6,7,8,9})&gt;0,0),0)&gt;0,IFERROR(MATCH(TRUE,COUNTIFS(Catálogo!$J$2:$J$648,"*"&amp;$A6&amp;"*",Catálogo!$I$2:$I$648,"&lt;&gt;ausente",Catálogo!$M$2:$M$648,"parcial",Catálogo!$L$2:$L$648,"*area*",Catálogo!$Q$2:$Q$648,{1,2,3,4,5,6,7,8,9})&gt;0,0),0)&lt;IFERROR(MATCH(TRUE,COUNTIFS(Catálogo!$J$2:$J$648,"*"&amp;$A6&amp;"*",Catálogo!$I$2:$I$648,"&lt;&gt;ausente",Catálogo!$M$2:$M$648,"completa",Catálogo!$L$2:$L$648,"*area*",Catálogo!$Q$2:$Q$648,{1,2,3,4,5,6,7,8,9})&gt;0,0),0)),"; "&amp;LOWER(INDEX(Niveles!$C$2:$C$10,IFERROR(MATCH(TRUE,COUNTIFS(Catálogo!$J$2:$J$648,"*"&amp;$A6&amp;"*",Catálogo!$I$2:$I$648,"&lt;&gt;ausente",Catálogo!$M$2:$M$648,"parcial",Catálogo!$L$2:$L$648,"*area*",Catálogo!$Q$2:$Q$648,{1,2,3,4,5,6,7,8,9})&gt;0,0),0)))&amp;" (parcial)",""),IF(IFERROR(MATCH(TRUE,COUNTIFS(Catálogo!$J$2:$J$648,"*"&amp;$A6&amp;"*",Catálogo!$I$2:$I$648,"&lt;&gt;ausente",Catálogo!$M$2:$M$648,"parcial",Catálogo!$L$2:$L$648,"*area*",Catálogo!$Q$2:$Q$648,{1,2,3,4,5,6,7,8,9})&gt;0,0),0)&gt;0,INDEX(Niveles!$C$2:$C$10,IFERROR(MATCH(TRUE,COUNTIFS(Catálogo!$J$2:$J$648,"*"&amp;$A6&amp;"*",Catálogo!$I$2:$I$648,"&lt;&gt;ausente",Catálogo!$M$2:$M$648,"parcial",Catálogo!$L$2:$L$648,"*area*",Catálogo!$Q$2:$Q$648,{1,2,3,4,5,6,7,8,9})&gt;0,0),0))&amp;" (parcial)","—"))</f>
        <v>—</v>
      </c>
      <c r="Q6" s="8" t="str">
        <f>IF(COUNTIFS(Cifras!$A$2:$A$399,$A6,Cifras!$E$2:$E$399,"Sí",Cifras!$F$2:$F$399,"Sí",Cifras!$D$2:$D$399,"distrito")&gt;0,"Distrito",IF(COUNTIFS(Cifras!$A$2:$A$399,$A6,Cifras!$E$2:$E$399,"Sí",Cifras!$F$2:$F$399,"Sí",Cifras!$D$2:$D$399,"comuna")&gt;0,"Comuna",IF(COUNTIFS(Cifras!$A$2:$A$399,$A6,Cifras!$E$2:$E$399,"Sí",Cifras!$F$2:$F$399,"Sí",Cifras!$D$2:$D$399,"partido")&gt;0,"Partido",IF(COUNTIFS(Cifras!$A$2:$A$399,$A6,Cifras!$E$2:$E$399,"Sí",Cifras!$F$2:$F$399,"Sí",Cifras!$D$2:$D$399,"departamento")&gt;0,"Departamento",IF(COUNTIFS(Cifras!$A$2:$A$399,$A6,Cifras!$E$2:$E$399,"Sí",Cifras!$F$2:$F$399,"Sí",Cifras!$D$2:$D$399,"provincia")&gt;0,"Provincia",IF(COUNTIFS(Cifras!$A$2:$A$399,$A6,Cifras!$E$2:$E$399,"Sí",Cifras!$F$2:$F$399,"Sí",Cifras!$D$2:$D$399,"region")&gt;0,"Región",IF(COUNTIFS(Cifras!$A$2:$A$399,$A6,Cifras!$E$2:$E$399,"Sí",Cifras!$F$2:$F$399,"Sí",Cifras!$D$2:$D$399,"pais")&gt;0,"País","—")))))))</f>
        <v>—</v>
      </c>
      <c r="R6" s="9" t="str">
        <f>IF(IFERROR(MATCH(TRUE,COUNTIFS(Catálogo!$J$2:$J$648,"*"&amp;$A6&amp;"*",Catálogo!$I$2:$I$648,"&lt;&gt;ausente",Catálogo!$M$2:$M$648,"completa",Catálogo!$L$2:$L$648,"*area*",Catálogo!$L$2:$L$648,"*sexo*",Catálogo!$Q$2:$Q$648,{1,2,3,4,5,6,7,8,9})&gt;0,0),0)&gt;0,INDEX(Niveles!$C$2:$C$10,IFERROR(MATCH(TRUE,COUNTIFS(Catálogo!$J$2:$J$648,"*"&amp;$A6&amp;"*",Catálogo!$I$2:$I$648,"&lt;&gt;ausente",Catálogo!$M$2:$M$648,"completa",Catálogo!$L$2:$L$648,"*area*",Catálogo!$L$2:$L$648,"*sexo*",Catálogo!$Q$2:$Q$648,{1,2,3,4,5,6,7,8,9})&gt;0,0),0))&amp;IF(AND(IFERROR(MATCH(TRUE,COUNTIFS(Catálogo!$J$2:$J$648,"*"&amp;$A6&amp;"*",Catálogo!$I$2:$I$648,"&lt;&gt;ausente",Catálogo!$M$2:$M$648,"parcial",Catálogo!$L$2:$L$648,"*area*",Catálogo!$L$2:$L$648,"*sexo*",Catálogo!$Q$2:$Q$648,{1,2,3,4,5,6,7,8,9})&gt;0,0),0)&gt;0,IFERROR(MATCH(TRUE,COUNTIFS(Catálogo!$J$2:$J$648,"*"&amp;$A6&amp;"*",Catálogo!$I$2:$I$648,"&lt;&gt;ausente",Catálogo!$M$2:$M$648,"parcial",Catálogo!$L$2:$L$648,"*area*",Catálogo!$L$2:$L$648,"*sexo*",Catálogo!$Q$2:$Q$648,{1,2,3,4,5,6,7,8,9})&gt;0,0),0)&lt;IFERROR(MATCH(TRUE,COUNTIFS(Catálogo!$J$2:$J$648,"*"&amp;$A6&amp;"*",Catálogo!$I$2:$I$648,"&lt;&gt;ausente",Catálogo!$M$2:$M$648,"completa",Catálogo!$L$2:$L$648,"*area*",Catálogo!$L$2:$L$648,"*sexo*",Catálogo!$Q$2:$Q$648,{1,2,3,4,5,6,7,8,9})&gt;0,0),0)),"; "&amp;LOWER(INDEX(Niveles!$C$2:$C$10,IFERROR(MATCH(TRUE,COUNTIFS(Catálogo!$J$2:$J$648,"*"&amp;$A6&amp;"*",Catálogo!$I$2:$I$648,"&lt;&gt;ausente",Catálogo!$M$2:$M$648,"parcial",Catálogo!$L$2:$L$648,"*area*",Catálogo!$L$2:$L$648,"*sexo*",Catálogo!$Q$2:$Q$648,{1,2,3,4,5,6,7,8,9})&gt;0,0),0)))&amp;" (parcial)",""),IF(IFERROR(MATCH(TRUE,COUNTIFS(Catálogo!$J$2:$J$648,"*"&amp;$A6&amp;"*",Catálogo!$I$2:$I$648,"&lt;&gt;ausente",Catálogo!$M$2:$M$648,"parcial",Catálogo!$L$2:$L$648,"*area*",Catálogo!$L$2:$L$648,"*sexo*",Catálogo!$Q$2:$Q$648,{1,2,3,4,5,6,7,8,9})&gt;0,0),0)&gt;0,INDEX(Niveles!$C$2:$C$10,IFERROR(MATCH(TRUE,COUNTIFS(Catálogo!$J$2:$J$648,"*"&amp;$A6&amp;"*",Catálogo!$I$2:$I$648,"&lt;&gt;ausente",Catálogo!$M$2:$M$648,"parcial",Catálogo!$L$2:$L$648,"*area*",Catálogo!$L$2:$L$648,"*sexo*",Catálogo!$Q$2:$Q$648,{1,2,3,4,5,6,7,8,9})&gt;0,0),0))&amp;" (parcial)","—"))</f>
        <v>—</v>
      </c>
      <c r="S6" s="8" t="str">
        <f>IF(COUNTIFS(Cifras!$A$2:$A$399,$A6,Cifras!$F$2:$F$399,"Sí",Cifras!$G$2:$G$399,"Sí",Cifras!$D$2:$D$399,"distrito")&gt;0,"Distrito",IF(COUNTIFS(Cifras!$A$2:$A$399,$A6,Cifras!$F$2:$F$399,"Sí",Cifras!$G$2:$G$399,"Sí",Cifras!$D$2:$D$399,"comuna")&gt;0,"Comuna",IF(COUNTIFS(Cifras!$A$2:$A$399,$A6,Cifras!$F$2:$F$399,"Sí",Cifras!$G$2:$G$399,"Sí",Cifras!$D$2:$D$399,"partido")&gt;0,"Partido",IF(COUNTIFS(Cifras!$A$2:$A$399,$A6,Cifras!$F$2:$F$399,"Sí",Cifras!$G$2:$G$399,"Sí",Cifras!$D$2:$D$399,"departamento")&gt;0,"Departamento",IF(COUNTIFS(Cifras!$A$2:$A$399,$A6,Cifras!$F$2:$F$399,"Sí",Cifras!$G$2:$G$399,"Sí",Cifras!$D$2:$D$399,"provincia")&gt;0,"Provincia",IF(COUNTIFS(Cifras!$A$2:$A$399,$A6,Cifras!$F$2:$F$399,"Sí",Cifras!$G$2:$G$399,"Sí",Cifras!$D$2:$D$399,"region")&gt;0,"Región",IF(COUNTIFS(Cifras!$A$2:$A$399,$A6,Cifras!$F$2:$F$399,"Sí",Cifras!$G$2:$G$399,"Sí",Cifras!$D$2:$D$399,"pais")&gt;0,"País","—")))))))</f>
        <v>—</v>
      </c>
      <c r="T6" s="9" t="str">
        <f>IF(IFERROR(MATCH(TRUE,COUNTIFS(Catálogo!$J$2:$J$648,"*"&amp;$A6&amp;"*",Catálogo!$I$2:$I$648,"&lt;&gt;ausente",Catálogo!$M$2:$M$648,"completa",Catálogo!$L$2:$L$648,"*sexo*",Catálogo!$L$2:$L$648,"*edad*",Catálogo!$Q$2:$Q$648,{1,2,3,4,5,6,7,8,9})&gt;0,0),0)&gt;0,INDEX(Niveles!$C$2:$C$10,IFERROR(MATCH(TRUE,COUNTIFS(Catálogo!$J$2:$J$648,"*"&amp;$A6&amp;"*",Catálogo!$I$2:$I$648,"&lt;&gt;ausente",Catálogo!$M$2:$M$648,"completa",Catálogo!$L$2:$L$648,"*sexo*",Catálogo!$L$2:$L$648,"*edad*",Catálogo!$Q$2:$Q$648,{1,2,3,4,5,6,7,8,9})&gt;0,0),0))&amp;IF(AND(IFERROR(MATCH(TRUE,COUNTIFS(Catálogo!$J$2:$J$648,"*"&amp;$A6&amp;"*",Catálogo!$I$2:$I$648,"&lt;&gt;ausente",Catálogo!$M$2:$M$648,"parcial",Catálogo!$L$2:$L$648,"*sexo*",Catálogo!$L$2:$L$648,"*edad*",Catálogo!$Q$2:$Q$648,{1,2,3,4,5,6,7,8,9})&gt;0,0),0)&gt;0,IFERROR(MATCH(TRUE,COUNTIFS(Catálogo!$J$2:$J$648,"*"&amp;$A6&amp;"*",Catálogo!$I$2:$I$648,"&lt;&gt;ausente",Catálogo!$M$2:$M$648,"parcial",Catálogo!$L$2:$L$648,"*sexo*",Catálogo!$L$2:$L$648,"*edad*",Catálogo!$Q$2:$Q$648,{1,2,3,4,5,6,7,8,9})&gt;0,0),0)&lt;IFERROR(MATCH(TRUE,COUNTIFS(Catálogo!$J$2:$J$648,"*"&amp;$A6&amp;"*",Catálogo!$I$2:$I$648,"&lt;&gt;ausente",Catálogo!$M$2:$M$648,"completa",Catálogo!$L$2:$L$648,"*sexo*",Catálogo!$L$2:$L$648,"*edad*",Catálogo!$Q$2:$Q$648,{1,2,3,4,5,6,7,8,9})&gt;0,0),0)),"; "&amp;LOWER(INDEX(Niveles!$C$2:$C$10,IFERROR(MATCH(TRUE,COUNTIFS(Catálogo!$J$2:$J$648,"*"&amp;$A6&amp;"*",Catálogo!$I$2:$I$648,"&lt;&gt;ausente",Catálogo!$M$2:$M$648,"parcial",Catálogo!$L$2:$L$648,"*sexo*",Catálogo!$L$2:$L$648,"*edad*",Catálogo!$Q$2:$Q$648,{1,2,3,4,5,6,7,8,9})&gt;0,0),0)))&amp;" (parcial)",""),IF(IFERROR(MATCH(TRUE,COUNTIFS(Catálogo!$J$2:$J$648,"*"&amp;$A6&amp;"*",Catálogo!$I$2:$I$648,"&lt;&gt;ausente",Catálogo!$M$2:$M$648,"parcial",Catálogo!$L$2:$L$648,"*sexo*",Catálogo!$L$2:$L$648,"*edad*",Catálogo!$Q$2:$Q$648,{1,2,3,4,5,6,7,8,9})&gt;0,0),0)&gt;0,INDEX(Niveles!$C$2:$C$10,IFERROR(MATCH(TRUE,COUNTIFS(Catálogo!$J$2:$J$648,"*"&amp;$A6&amp;"*",Catálogo!$I$2:$I$648,"&lt;&gt;ausente",Catálogo!$M$2:$M$648,"parcial",Catálogo!$L$2:$L$648,"*sexo*",Catálogo!$L$2:$L$648,"*edad*",Catálogo!$Q$2:$Q$648,{1,2,3,4,5,6,7,8,9})&gt;0,0),0))&amp;" (parcial)","—"))</f>
        <v>—</v>
      </c>
      <c r="U6" s="7">
        <f>SUMIFS(Cifras!$J$2:$J$399,Cifras!$A$2:$A$399,$A6)</f>
        <v>2</v>
      </c>
      <c r="V6" s="10" t="s">
        <v>27</v>
      </c>
      <c r="W6" s="11" t="s">
        <v>31</v>
      </c>
      <c r="X6" s="11" t="s">
        <v>32</v>
      </c>
    </row>
    <row r="7" spans="1:24" ht="63.75" x14ac:dyDescent="0.25">
      <c r="A7" s="5">
        <v>1843</v>
      </c>
      <c r="B7" s="6" t="s">
        <v>33</v>
      </c>
      <c r="C7" s="7"/>
      <c r="D7" s="7">
        <f>COUNTIFS(Catálogo!$B$2:$B$648,$A7)</f>
        <v>0</v>
      </c>
      <c r="E7" s="7">
        <f>COUNTIFS(Catálogo!$B$2:$B$648,$A7,Catálogo!$F$2:$F$648,"cuadro")</f>
        <v>0</v>
      </c>
      <c r="F7" s="7">
        <f>COUNTIFS(Catálogo!$B$2:$B$648,$A7,Catálogo!$F$2:$F$648,"bloque")</f>
        <v>0</v>
      </c>
      <c r="G7" s="7">
        <f>COUNTIFS(Catálogo!$B$2:$B$648,$A7,Catálogo!$F$2:$F$648,"texto")</f>
        <v>0</v>
      </c>
      <c r="H7" s="7">
        <f>COUNTIFS(Catálogo!$B$2:$B$648,$A7,Catálogo!$I$2:$I$648,"verificada")</f>
        <v>0</v>
      </c>
      <c r="I7" s="7">
        <f>COUNTIFS(Catálogo!$B$2:$B$648,$A7,Catálogo!$I$2:$I$648,"estimada")</f>
        <v>0</v>
      </c>
      <c r="J7" s="7">
        <f>COUNTIFS(Catálogo!$B$2:$B$648,$A7,Catálogo!$I$2:$I$648,"desconocida")+COUNTIFS(Catálogo!$B$2:$B$648,$A7,Catálogo!$I$2:$I$648,"ausente")</f>
        <v>0</v>
      </c>
      <c r="K7" s="7">
        <f>COUNTIFS(Catálogo!$B$2:$B$648,$A7,Catálogo!$O$2:$O$648,"transcrito")</f>
        <v>0</v>
      </c>
      <c r="L7" s="7">
        <f>SUMIFS(Cifras!$H$2:$H$399,Cifras!$A$2:$A$399,$A7)</f>
        <v>137</v>
      </c>
      <c r="M7" s="8" t="str">
        <f>IF(COUNTIFS(Cifras!$A$2:$A$399,$A7,Cifras!$D$2:$D$399,"distrito")&gt;0,"Distrito",IF(COUNTIFS(Cifras!$A$2:$A$399,$A7,Cifras!$D$2:$D$399,"comuna")&gt;0,"Comuna",IF(COUNTIFS(Cifras!$A$2:$A$399,$A7,Cifras!$D$2:$D$399,"partido")&gt;0,"Partido",IF(COUNTIFS(Cifras!$A$2:$A$399,$A7,Cifras!$D$2:$D$399,"departamento")&gt;0,"Departamento",IF(COUNTIFS(Cifras!$A$2:$A$399,$A7,Cifras!$D$2:$D$399,"provincia")&gt;0,"Provincia",IF(COUNTIFS(Cifras!$A$2:$A$399,$A7,Cifras!$D$2:$D$399,"region")&gt;0,"Región",IF(COUNTIFS(Cifras!$A$2:$A$399,$A7,Cifras!$D$2:$D$399,"pais")&gt;0,"País","—")))))))</f>
        <v>Departamento</v>
      </c>
      <c r="N7" s="9" t="str">
        <f>IF(IFERROR(MATCH(TRUE,COUNTIFS(Catálogo!$J$2:$J$648,"*"&amp;$A7&amp;"*",Catálogo!$I$2:$I$648,"&lt;&gt;ausente",Catálogo!$M$2:$M$648,"completa",Catálogo!$Q$2:$Q$648,{1,2,3,4,5,6,7,8,9})&gt;0,0),0)&gt;0,INDEX(Niveles!$C$2:$C$10,IFERROR(MATCH(TRUE,COUNTIFS(Catálogo!$J$2:$J$648,"*"&amp;$A7&amp;"*",Catálogo!$I$2:$I$648,"&lt;&gt;ausente",Catálogo!$M$2:$M$648,"completa",Catálogo!$Q$2:$Q$648,{1,2,3,4,5,6,7,8,9})&gt;0,0),0))&amp;IF(AND(IFERROR(MATCH(TRUE,COUNTIFS(Catálogo!$J$2:$J$648,"*"&amp;$A7&amp;"*",Catálogo!$I$2:$I$648,"&lt;&gt;ausente",Catálogo!$M$2:$M$648,"parcial",Catálogo!$Q$2:$Q$648,{1,2,3,4,5,6,7,8,9})&gt;0,0),0)&gt;0,IFERROR(MATCH(TRUE,COUNTIFS(Catálogo!$J$2:$J$648,"*"&amp;$A7&amp;"*",Catálogo!$I$2:$I$648,"&lt;&gt;ausente",Catálogo!$M$2:$M$648,"parcial",Catálogo!$Q$2:$Q$648,{1,2,3,4,5,6,7,8,9})&gt;0,0),0)&lt;IFERROR(MATCH(TRUE,COUNTIFS(Catálogo!$J$2:$J$648,"*"&amp;$A7&amp;"*",Catálogo!$I$2:$I$648,"&lt;&gt;ausente",Catálogo!$M$2:$M$648,"completa",Catálogo!$Q$2:$Q$648,{1,2,3,4,5,6,7,8,9})&gt;0,0),0)),"; "&amp;LOWER(INDEX(Niveles!$C$2:$C$10,IFERROR(MATCH(TRUE,COUNTIFS(Catálogo!$J$2:$J$648,"*"&amp;$A7&amp;"*",Catálogo!$I$2:$I$648,"&lt;&gt;ausente",Catálogo!$M$2:$M$648,"parcial",Catálogo!$Q$2:$Q$648,{1,2,3,4,5,6,7,8,9})&gt;0,0),0)))&amp;" (parcial)",""),IF(IFERROR(MATCH(TRUE,COUNTIFS(Catálogo!$J$2:$J$648,"*"&amp;$A7&amp;"*",Catálogo!$I$2:$I$648,"&lt;&gt;ausente",Catálogo!$M$2:$M$648,"parcial",Catálogo!$Q$2:$Q$648,{1,2,3,4,5,6,7,8,9})&gt;0,0),0)&gt;0,INDEX(Niveles!$C$2:$C$10,IFERROR(MATCH(TRUE,COUNTIFS(Catálogo!$J$2:$J$648,"*"&amp;$A7&amp;"*",Catálogo!$I$2:$I$648,"&lt;&gt;ausente",Catálogo!$M$2:$M$648,"parcial",Catálogo!$Q$2:$Q$648,{1,2,3,4,5,6,7,8,9})&gt;0,0),0))&amp;" (parcial)","—"))</f>
        <v>Departamento</v>
      </c>
      <c r="O7" s="8" t="str">
        <f>IF(COUNTIFS(Cifras!$A$2:$A$399,$A7,Cifras!$E$2:$E$399,"Sí",Cifras!$D$2:$D$399,"distrito")&gt;0,"Distrito",IF(COUNTIFS(Cifras!$A$2:$A$399,$A7,Cifras!$E$2:$E$399,"Sí",Cifras!$D$2:$D$399,"comuna")&gt;0,"Comuna",IF(COUNTIFS(Cifras!$A$2:$A$399,$A7,Cifras!$E$2:$E$399,"Sí",Cifras!$D$2:$D$399,"partido")&gt;0,"Partido",IF(COUNTIFS(Cifras!$A$2:$A$399,$A7,Cifras!$E$2:$E$399,"Sí",Cifras!$D$2:$D$399,"departamento")&gt;0,"Departamento",IF(COUNTIFS(Cifras!$A$2:$A$399,$A7,Cifras!$E$2:$E$399,"Sí",Cifras!$D$2:$D$399,"provincia")&gt;0,"Provincia",IF(COUNTIFS(Cifras!$A$2:$A$399,$A7,Cifras!$E$2:$E$399,"Sí",Cifras!$D$2:$D$399,"region")&gt;0,"Región",IF(COUNTIFS(Cifras!$A$2:$A$399,$A7,Cifras!$E$2:$E$399,"Sí",Cifras!$D$2:$D$399,"pais")&gt;0,"País","—")))))))</f>
        <v>—</v>
      </c>
      <c r="P7" s="9" t="str">
        <f>IF(IFERROR(MATCH(TRUE,COUNTIFS(Catálogo!$J$2:$J$648,"*"&amp;$A7&amp;"*",Catálogo!$I$2:$I$648,"&lt;&gt;ausente",Catálogo!$M$2:$M$648,"completa",Catálogo!$L$2:$L$648,"*area*",Catálogo!$Q$2:$Q$648,{1,2,3,4,5,6,7,8,9})&gt;0,0),0)&gt;0,INDEX(Niveles!$C$2:$C$10,IFERROR(MATCH(TRUE,COUNTIFS(Catálogo!$J$2:$J$648,"*"&amp;$A7&amp;"*",Catálogo!$I$2:$I$648,"&lt;&gt;ausente",Catálogo!$M$2:$M$648,"completa",Catálogo!$L$2:$L$648,"*area*",Catálogo!$Q$2:$Q$648,{1,2,3,4,5,6,7,8,9})&gt;0,0),0))&amp;IF(AND(IFERROR(MATCH(TRUE,COUNTIFS(Catálogo!$J$2:$J$648,"*"&amp;$A7&amp;"*",Catálogo!$I$2:$I$648,"&lt;&gt;ausente",Catálogo!$M$2:$M$648,"parcial",Catálogo!$L$2:$L$648,"*area*",Catálogo!$Q$2:$Q$648,{1,2,3,4,5,6,7,8,9})&gt;0,0),0)&gt;0,IFERROR(MATCH(TRUE,COUNTIFS(Catálogo!$J$2:$J$648,"*"&amp;$A7&amp;"*",Catálogo!$I$2:$I$648,"&lt;&gt;ausente",Catálogo!$M$2:$M$648,"parcial",Catálogo!$L$2:$L$648,"*area*",Catálogo!$Q$2:$Q$648,{1,2,3,4,5,6,7,8,9})&gt;0,0),0)&lt;IFERROR(MATCH(TRUE,COUNTIFS(Catálogo!$J$2:$J$648,"*"&amp;$A7&amp;"*",Catálogo!$I$2:$I$648,"&lt;&gt;ausente",Catálogo!$M$2:$M$648,"completa",Catálogo!$L$2:$L$648,"*area*",Catálogo!$Q$2:$Q$648,{1,2,3,4,5,6,7,8,9})&gt;0,0),0)),"; "&amp;LOWER(INDEX(Niveles!$C$2:$C$10,IFERROR(MATCH(TRUE,COUNTIFS(Catálogo!$J$2:$J$648,"*"&amp;$A7&amp;"*",Catálogo!$I$2:$I$648,"&lt;&gt;ausente",Catálogo!$M$2:$M$648,"parcial",Catálogo!$L$2:$L$648,"*area*",Catálogo!$Q$2:$Q$648,{1,2,3,4,5,6,7,8,9})&gt;0,0),0)))&amp;" (parcial)",""),IF(IFERROR(MATCH(TRUE,COUNTIFS(Catálogo!$J$2:$J$648,"*"&amp;$A7&amp;"*",Catálogo!$I$2:$I$648,"&lt;&gt;ausente",Catálogo!$M$2:$M$648,"parcial",Catálogo!$L$2:$L$648,"*area*",Catálogo!$Q$2:$Q$648,{1,2,3,4,5,6,7,8,9})&gt;0,0),0)&gt;0,INDEX(Niveles!$C$2:$C$10,IFERROR(MATCH(TRUE,COUNTIFS(Catálogo!$J$2:$J$648,"*"&amp;$A7&amp;"*",Catálogo!$I$2:$I$648,"&lt;&gt;ausente",Catálogo!$M$2:$M$648,"parcial",Catálogo!$L$2:$L$648,"*area*",Catálogo!$Q$2:$Q$648,{1,2,3,4,5,6,7,8,9})&gt;0,0),0))&amp;" (parcial)","—"))</f>
        <v>—</v>
      </c>
      <c r="Q7" s="8" t="str">
        <f>IF(COUNTIFS(Cifras!$A$2:$A$399,$A7,Cifras!$E$2:$E$399,"Sí",Cifras!$F$2:$F$399,"Sí",Cifras!$D$2:$D$399,"distrito")&gt;0,"Distrito",IF(COUNTIFS(Cifras!$A$2:$A$399,$A7,Cifras!$E$2:$E$399,"Sí",Cifras!$F$2:$F$399,"Sí",Cifras!$D$2:$D$399,"comuna")&gt;0,"Comuna",IF(COUNTIFS(Cifras!$A$2:$A$399,$A7,Cifras!$E$2:$E$399,"Sí",Cifras!$F$2:$F$399,"Sí",Cifras!$D$2:$D$399,"partido")&gt;0,"Partido",IF(COUNTIFS(Cifras!$A$2:$A$399,$A7,Cifras!$E$2:$E$399,"Sí",Cifras!$F$2:$F$399,"Sí",Cifras!$D$2:$D$399,"departamento")&gt;0,"Departamento",IF(COUNTIFS(Cifras!$A$2:$A$399,$A7,Cifras!$E$2:$E$399,"Sí",Cifras!$F$2:$F$399,"Sí",Cifras!$D$2:$D$399,"provincia")&gt;0,"Provincia",IF(COUNTIFS(Cifras!$A$2:$A$399,$A7,Cifras!$E$2:$E$399,"Sí",Cifras!$F$2:$F$399,"Sí",Cifras!$D$2:$D$399,"region")&gt;0,"Región",IF(COUNTIFS(Cifras!$A$2:$A$399,$A7,Cifras!$E$2:$E$399,"Sí",Cifras!$F$2:$F$399,"Sí",Cifras!$D$2:$D$399,"pais")&gt;0,"País","—")))))))</f>
        <v>—</v>
      </c>
      <c r="R7" s="9" t="str">
        <f>IF(IFERROR(MATCH(TRUE,COUNTIFS(Catálogo!$J$2:$J$648,"*"&amp;$A7&amp;"*",Catálogo!$I$2:$I$648,"&lt;&gt;ausente",Catálogo!$M$2:$M$648,"completa",Catálogo!$L$2:$L$648,"*area*",Catálogo!$L$2:$L$648,"*sexo*",Catálogo!$Q$2:$Q$648,{1,2,3,4,5,6,7,8,9})&gt;0,0),0)&gt;0,INDEX(Niveles!$C$2:$C$10,IFERROR(MATCH(TRUE,COUNTIFS(Catálogo!$J$2:$J$648,"*"&amp;$A7&amp;"*",Catálogo!$I$2:$I$648,"&lt;&gt;ausente",Catálogo!$M$2:$M$648,"completa",Catálogo!$L$2:$L$648,"*area*",Catálogo!$L$2:$L$648,"*sexo*",Catálogo!$Q$2:$Q$648,{1,2,3,4,5,6,7,8,9})&gt;0,0),0))&amp;IF(AND(IFERROR(MATCH(TRUE,COUNTIFS(Catálogo!$J$2:$J$648,"*"&amp;$A7&amp;"*",Catálogo!$I$2:$I$648,"&lt;&gt;ausente",Catálogo!$M$2:$M$648,"parcial",Catálogo!$L$2:$L$648,"*area*",Catálogo!$L$2:$L$648,"*sexo*",Catálogo!$Q$2:$Q$648,{1,2,3,4,5,6,7,8,9})&gt;0,0),0)&gt;0,IFERROR(MATCH(TRUE,COUNTIFS(Catálogo!$J$2:$J$648,"*"&amp;$A7&amp;"*",Catálogo!$I$2:$I$648,"&lt;&gt;ausente",Catálogo!$M$2:$M$648,"parcial",Catálogo!$L$2:$L$648,"*area*",Catálogo!$L$2:$L$648,"*sexo*",Catálogo!$Q$2:$Q$648,{1,2,3,4,5,6,7,8,9})&gt;0,0),0)&lt;IFERROR(MATCH(TRUE,COUNTIFS(Catálogo!$J$2:$J$648,"*"&amp;$A7&amp;"*",Catálogo!$I$2:$I$648,"&lt;&gt;ausente",Catálogo!$M$2:$M$648,"completa",Catálogo!$L$2:$L$648,"*area*",Catálogo!$L$2:$L$648,"*sexo*",Catálogo!$Q$2:$Q$648,{1,2,3,4,5,6,7,8,9})&gt;0,0),0)),"; "&amp;LOWER(INDEX(Niveles!$C$2:$C$10,IFERROR(MATCH(TRUE,COUNTIFS(Catálogo!$J$2:$J$648,"*"&amp;$A7&amp;"*",Catálogo!$I$2:$I$648,"&lt;&gt;ausente",Catálogo!$M$2:$M$648,"parcial",Catálogo!$L$2:$L$648,"*area*",Catálogo!$L$2:$L$648,"*sexo*",Catálogo!$Q$2:$Q$648,{1,2,3,4,5,6,7,8,9})&gt;0,0),0)))&amp;" (parcial)",""),IF(IFERROR(MATCH(TRUE,COUNTIFS(Catálogo!$J$2:$J$648,"*"&amp;$A7&amp;"*",Catálogo!$I$2:$I$648,"&lt;&gt;ausente",Catálogo!$M$2:$M$648,"parcial",Catálogo!$L$2:$L$648,"*area*",Catálogo!$L$2:$L$648,"*sexo*",Catálogo!$Q$2:$Q$648,{1,2,3,4,5,6,7,8,9})&gt;0,0),0)&gt;0,INDEX(Niveles!$C$2:$C$10,IFERROR(MATCH(TRUE,COUNTIFS(Catálogo!$J$2:$J$648,"*"&amp;$A7&amp;"*",Catálogo!$I$2:$I$648,"&lt;&gt;ausente",Catálogo!$M$2:$M$648,"parcial",Catálogo!$L$2:$L$648,"*area*",Catálogo!$L$2:$L$648,"*sexo*",Catálogo!$Q$2:$Q$648,{1,2,3,4,5,6,7,8,9})&gt;0,0),0))&amp;" (parcial)","—"))</f>
        <v>—</v>
      </c>
      <c r="S7" s="8" t="str">
        <f>IF(COUNTIFS(Cifras!$A$2:$A$399,$A7,Cifras!$F$2:$F$399,"Sí",Cifras!$G$2:$G$399,"Sí",Cifras!$D$2:$D$399,"distrito")&gt;0,"Distrito",IF(COUNTIFS(Cifras!$A$2:$A$399,$A7,Cifras!$F$2:$F$399,"Sí",Cifras!$G$2:$G$399,"Sí",Cifras!$D$2:$D$399,"comuna")&gt;0,"Comuna",IF(COUNTIFS(Cifras!$A$2:$A$399,$A7,Cifras!$F$2:$F$399,"Sí",Cifras!$G$2:$G$399,"Sí",Cifras!$D$2:$D$399,"partido")&gt;0,"Partido",IF(COUNTIFS(Cifras!$A$2:$A$399,$A7,Cifras!$F$2:$F$399,"Sí",Cifras!$G$2:$G$399,"Sí",Cifras!$D$2:$D$399,"departamento")&gt;0,"Departamento",IF(COUNTIFS(Cifras!$A$2:$A$399,$A7,Cifras!$F$2:$F$399,"Sí",Cifras!$G$2:$G$399,"Sí",Cifras!$D$2:$D$399,"provincia")&gt;0,"Provincia",IF(COUNTIFS(Cifras!$A$2:$A$399,$A7,Cifras!$F$2:$F$399,"Sí",Cifras!$G$2:$G$399,"Sí",Cifras!$D$2:$D$399,"region")&gt;0,"Región",IF(COUNTIFS(Cifras!$A$2:$A$399,$A7,Cifras!$F$2:$F$399,"Sí",Cifras!$G$2:$G$399,"Sí",Cifras!$D$2:$D$399,"pais")&gt;0,"País","—")))))))</f>
        <v>—</v>
      </c>
      <c r="T7" s="9" t="str">
        <f>IF(IFERROR(MATCH(TRUE,COUNTIFS(Catálogo!$J$2:$J$648,"*"&amp;$A7&amp;"*",Catálogo!$I$2:$I$648,"&lt;&gt;ausente",Catálogo!$M$2:$M$648,"completa",Catálogo!$L$2:$L$648,"*sexo*",Catálogo!$L$2:$L$648,"*edad*",Catálogo!$Q$2:$Q$648,{1,2,3,4,5,6,7,8,9})&gt;0,0),0)&gt;0,INDEX(Niveles!$C$2:$C$10,IFERROR(MATCH(TRUE,COUNTIFS(Catálogo!$J$2:$J$648,"*"&amp;$A7&amp;"*",Catálogo!$I$2:$I$648,"&lt;&gt;ausente",Catálogo!$M$2:$M$648,"completa",Catálogo!$L$2:$L$648,"*sexo*",Catálogo!$L$2:$L$648,"*edad*",Catálogo!$Q$2:$Q$648,{1,2,3,4,5,6,7,8,9})&gt;0,0),0))&amp;IF(AND(IFERROR(MATCH(TRUE,COUNTIFS(Catálogo!$J$2:$J$648,"*"&amp;$A7&amp;"*",Catálogo!$I$2:$I$648,"&lt;&gt;ausente",Catálogo!$M$2:$M$648,"parcial",Catálogo!$L$2:$L$648,"*sexo*",Catálogo!$L$2:$L$648,"*edad*",Catálogo!$Q$2:$Q$648,{1,2,3,4,5,6,7,8,9})&gt;0,0),0)&gt;0,IFERROR(MATCH(TRUE,COUNTIFS(Catálogo!$J$2:$J$648,"*"&amp;$A7&amp;"*",Catálogo!$I$2:$I$648,"&lt;&gt;ausente",Catálogo!$M$2:$M$648,"parcial",Catálogo!$L$2:$L$648,"*sexo*",Catálogo!$L$2:$L$648,"*edad*",Catálogo!$Q$2:$Q$648,{1,2,3,4,5,6,7,8,9})&gt;0,0),0)&lt;IFERROR(MATCH(TRUE,COUNTIFS(Catálogo!$J$2:$J$648,"*"&amp;$A7&amp;"*",Catálogo!$I$2:$I$648,"&lt;&gt;ausente",Catálogo!$M$2:$M$648,"completa",Catálogo!$L$2:$L$648,"*sexo*",Catálogo!$L$2:$L$648,"*edad*",Catálogo!$Q$2:$Q$648,{1,2,3,4,5,6,7,8,9})&gt;0,0),0)),"; "&amp;LOWER(INDEX(Niveles!$C$2:$C$10,IFERROR(MATCH(TRUE,COUNTIFS(Catálogo!$J$2:$J$648,"*"&amp;$A7&amp;"*",Catálogo!$I$2:$I$648,"&lt;&gt;ausente",Catálogo!$M$2:$M$648,"parcial",Catálogo!$L$2:$L$648,"*sexo*",Catálogo!$L$2:$L$648,"*edad*",Catálogo!$Q$2:$Q$648,{1,2,3,4,5,6,7,8,9})&gt;0,0),0)))&amp;" (parcial)",""),IF(IFERROR(MATCH(TRUE,COUNTIFS(Catálogo!$J$2:$J$648,"*"&amp;$A7&amp;"*",Catálogo!$I$2:$I$648,"&lt;&gt;ausente",Catálogo!$M$2:$M$648,"parcial",Catálogo!$L$2:$L$648,"*sexo*",Catálogo!$L$2:$L$648,"*edad*",Catálogo!$Q$2:$Q$648,{1,2,3,4,5,6,7,8,9})&gt;0,0),0)&gt;0,INDEX(Niveles!$C$2:$C$10,IFERROR(MATCH(TRUE,COUNTIFS(Catálogo!$J$2:$J$648,"*"&amp;$A7&amp;"*",Catálogo!$I$2:$I$648,"&lt;&gt;ausente",Catálogo!$M$2:$M$648,"parcial",Catálogo!$L$2:$L$648,"*sexo*",Catálogo!$L$2:$L$648,"*edad*",Catálogo!$Q$2:$Q$648,{1,2,3,4,5,6,7,8,9})&gt;0,0),0))&amp;" (parcial)","—"))</f>
        <v>—</v>
      </c>
      <c r="U7" s="7">
        <f>SUMIFS(Cifras!$J$2:$J$399,Cifras!$A$2:$A$399,$A7)</f>
        <v>0</v>
      </c>
      <c r="V7" s="12" t="s">
        <v>34</v>
      </c>
      <c r="W7" s="11" t="s">
        <v>35</v>
      </c>
      <c r="X7" s="11" t="s">
        <v>36</v>
      </c>
    </row>
    <row r="8" spans="1:24" ht="25.5" x14ac:dyDescent="0.25">
      <c r="A8" s="5">
        <v>1854</v>
      </c>
      <c r="B8" s="6" t="s">
        <v>33</v>
      </c>
      <c r="C8" s="7"/>
      <c r="D8" s="7">
        <f>COUNTIFS(Catálogo!$B$2:$B$648,$A8)</f>
        <v>0</v>
      </c>
      <c r="E8" s="7">
        <f>COUNTIFS(Catálogo!$B$2:$B$648,$A8,Catálogo!$F$2:$F$648,"cuadro")</f>
        <v>0</v>
      </c>
      <c r="F8" s="7">
        <f>COUNTIFS(Catálogo!$B$2:$B$648,$A8,Catálogo!$F$2:$F$648,"bloque")</f>
        <v>0</v>
      </c>
      <c r="G8" s="7">
        <f>COUNTIFS(Catálogo!$B$2:$B$648,$A8,Catálogo!$F$2:$F$648,"texto")</f>
        <v>0</v>
      </c>
      <c r="H8" s="7">
        <f>COUNTIFS(Catálogo!$B$2:$B$648,$A8,Catálogo!$I$2:$I$648,"verificada")</f>
        <v>0</v>
      </c>
      <c r="I8" s="7">
        <f>COUNTIFS(Catálogo!$B$2:$B$648,$A8,Catálogo!$I$2:$I$648,"estimada")</f>
        <v>0</v>
      </c>
      <c r="J8" s="7">
        <f>COUNTIFS(Catálogo!$B$2:$B$648,$A8,Catálogo!$I$2:$I$648,"desconocida")+COUNTIFS(Catálogo!$B$2:$B$648,$A8,Catálogo!$I$2:$I$648,"ausente")</f>
        <v>0</v>
      </c>
      <c r="K8" s="7">
        <f>COUNTIFS(Catálogo!$B$2:$B$648,$A8,Catálogo!$O$2:$O$648,"transcrito")</f>
        <v>0</v>
      </c>
      <c r="L8" s="7">
        <f>SUMIFS(Cifras!$H$2:$H$399,Cifras!$A$2:$A$399,$A8)</f>
        <v>147</v>
      </c>
      <c r="M8" s="8" t="str">
        <f>IF(COUNTIFS(Cifras!$A$2:$A$399,$A8,Cifras!$D$2:$D$399,"distrito")&gt;0,"Distrito",IF(COUNTIFS(Cifras!$A$2:$A$399,$A8,Cifras!$D$2:$D$399,"comuna")&gt;0,"Comuna",IF(COUNTIFS(Cifras!$A$2:$A$399,$A8,Cifras!$D$2:$D$399,"partido")&gt;0,"Partido",IF(COUNTIFS(Cifras!$A$2:$A$399,$A8,Cifras!$D$2:$D$399,"departamento")&gt;0,"Departamento",IF(COUNTIFS(Cifras!$A$2:$A$399,$A8,Cifras!$D$2:$D$399,"provincia")&gt;0,"Provincia",IF(COUNTIFS(Cifras!$A$2:$A$399,$A8,Cifras!$D$2:$D$399,"region")&gt;0,"Región",IF(COUNTIFS(Cifras!$A$2:$A$399,$A8,Cifras!$D$2:$D$399,"pais")&gt;0,"País","—")))))))</f>
        <v>Departamento</v>
      </c>
      <c r="N8" s="9" t="str">
        <f>IF(IFERROR(MATCH(TRUE,COUNTIFS(Catálogo!$J$2:$J$648,"*"&amp;$A8&amp;"*",Catálogo!$I$2:$I$648,"&lt;&gt;ausente",Catálogo!$M$2:$M$648,"completa",Catálogo!$Q$2:$Q$648,{1,2,3,4,5,6,7,8,9})&gt;0,0),0)&gt;0,INDEX(Niveles!$C$2:$C$10,IFERROR(MATCH(TRUE,COUNTIFS(Catálogo!$J$2:$J$648,"*"&amp;$A8&amp;"*",Catálogo!$I$2:$I$648,"&lt;&gt;ausente",Catálogo!$M$2:$M$648,"completa",Catálogo!$Q$2:$Q$648,{1,2,3,4,5,6,7,8,9})&gt;0,0),0))&amp;IF(AND(IFERROR(MATCH(TRUE,COUNTIFS(Catálogo!$J$2:$J$648,"*"&amp;$A8&amp;"*",Catálogo!$I$2:$I$648,"&lt;&gt;ausente",Catálogo!$M$2:$M$648,"parcial",Catálogo!$Q$2:$Q$648,{1,2,3,4,5,6,7,8,9})&gt;0,0),0)&gt;0,IFERROR(MATCH(TRUE,COUNTIFS(Catálogo!$J$2:$J$648,"*"&amp;$A8&amp;"*",Catálogo!$I$2:$I$648,"&lt;&gt;ausente",Catálogo!$M$2:$M$648,"parcial",Catálogo!$Q$2:$Q$648,{1,2,3,4,5,6,7,8,9})&gt;0,0),0)&lt;IFERROR(MATCH(TRUE,COUNTIFS(Catálogo!$J$2:$J$648,"*"&amp;$A8&amp;"*",Catálogo!$I$2:$I$648,"&lt;&gt;ausente",Catálogo!$M$2:$M$648,"completa",Catálogo!$Q$2:$Q$648,{1,2,3,4,5,6,7,8,9})&gt;0,0),0)),"; "&amp;LOWER(INDEX(Niveles!$C$2:$C$10,IFERROR(MATCH(TRUE,COUNTIFS(Catálogo!$J$2:$J$648,"*"&amp;$A8&amp;"*",Catálogo!$I$2:$I$648,"&lt;&gt;ausente",Catálogo!$M$2:$M$648,"parcial",Catálogo!$Q$2:$Q$648,{1,2,3,4,5,6,7,8,9})&gt;0,0),0)))&amp;" (parcial)",""),IF(IFERROR(MATCH(TRUE,COUNTIFS(Catálogo!$J$2:$J$648,"*"&amp;$A8&amp;"*",Catálogo!$I$2:$I$648,"&lt;&gt;ausente",Catálogo!$M$2:$M$648,"parcial",Catálogo!$Q$2:$Q$648,{1,2,3,4,5,6,7,8,9})&gt;0,0),0)&gt;0,INDEX(Niveles!$C$2:$C$10,IFERROR(MATCH(TRUE,COUNTIFS(Catálogo!$J$2:$J$648,"*"&amp;$A8&amp;"*",Catálogo!$I$2:$I$648,"&lt;&gt;ausente",Catálogo!$M$2:$M$648,"parcial",Catálogo!$Q$2:$Q$648,{1,2,3,4,5,6,7,8,9})&gt;0,0),0))&amp;" (parcial)","—"))</f>
        <v>Departamento</v>
      </c>
      <c r="O8" s="8" t="str">
        <f>IF(COUNTIFS(Cifras!$A$2:$A$399,$A8,Cifras!$E$2:$E$399,"Sí",Cifras!$D$2:$D$399,"distrito")&gt;0,"Distrito",IF(COUNTIFS(Cifras!$A$2:$A$399,$A8,Cifras!$E$2:$E$399,"Sí",Cifras!$D$2:$D$399,"comuna")&gt;0,"Comuna",IF(COUNTIFS(Cifras!$A$2:$A$399,$A8,Cifras!$E$2:$E$399,"Sí",Cifras!$D$2:$D$399,"partido")&gt;0,"Partido",IF(COUNTIFS(Cifras!$A$2:$A$399,$A8,Cifras!$E$2:$E$399,"Sí",Cifras!$D$2:$D$399,"departamento")&gt;0,"Departamento",IF(COUNTIFS(Cifras!$A$2:$A$399,$A8,Cifras!$E$2:$E$399,"Sí",Cifras!$D$2:$D$399,"provincia")&gt;0,"Provincia",IF(COUNTIFS(Cifras!$A$2:$A$399,$A8,Cifras!$E$2:$E$399,"Sí",Cifras!$D$2:$D$399,"region")&gt;0,"Región",IF(COUNTIFS(Cifras!$A$2:$A$399,$A8,Cifras!$E$2:$E$399,"Sí",Cifras!$D$2:$D$399,"pais")&gt;0,"País","—")))))))</f>
        <v>—</v>
      </c>
      <c r="P8" s="9" t="str">
        <f>IF(IFERROR(MATCH(TRUE,COUNTIFS(Catálogo!$J$2:$J$648,"*"&amp;$A8&amp;"*",Catálogo!$I$2:$I$648,"&lt;&gt;ausente",Catálogo!$M$2:$M$648,"completa",Catálogo!$L$2:$L$648,"*area*",Catálogo!$Q$2:$Q$648,{1,2,3,4,5,6,7,8,9})&gt;0,0),0)&gt;0,INDEX(Niveles!$C$2:$C$10,IFERROR(MATCH(TRUE,COUNTIFS(Catálogo!$J$2:$J$648,"*"&amp;$A8&amp;"*",Catálogo!$I$2:$I$648,"&lt;&gt;ausente",Catálogo!$M$2:$M$648,"completa",Catálogo!$L$2:$L$648,"*area*",Catálogo!$Q$2:$Q$648,{1,2,3,4,5,6,7,8,9})&gt;0,0),0))&amp;IF(AND(IFERROR(MATCH(TRUE,COUNTIFS(Catálogo!$J$2:$J$648,"*"&amp;$A8&amp;"*",Catálogo!$I$2:$I$648,"&lt;&gt;ausente",Catálogo!$M$2:$M$648,"parcial",Catálogo!$L$2:$L$648,"*area*",Catálogo!$Q$2:$Q$648,{1,2,3,4,5,6,7,8,9})&gt;0,0),0)&gt;0,IFERROR(MATCH(TRUE,COUNTIFS(Catálogo!$J$2:$J$648,"*"&amp;$A8&amp;"*",Catálogo!$I$2:$I$648,"&lt;&gt;ausente",Catálogo!$M$2:$M$648,"parcial",Catálogo!$L$2:$L$648,"*area*",Catálogo!$Q$2:$Q$648,{1,2,3,4,5,6,7,8,9})&gt;0,0),0)&lt;IFERROR(MATCH(TRUE,COUNTIFS(Catálogo!$J$2:$J$648,"*"&amp;$A8&amp;"*",Catálogo!$I$2:$I$648,"&lt;&gt;ausente",Catálogo!$M$2:$M$648,"completa",Catálogo!$L$2:$L$648,"*area*",Catálogo!$Q$2:$Q$648,{1,2,3,4,5,6,7,8,9})&gt;0,0),0)),"; "&amp;LOWER(INDEX(Niveles!$C$2:$C$10,IFERROR(MATCH(TRUE,COUNTIFS(Catálogo!$J$2:$J$648,"*"&amp;$A8&amp;"*",Catálogo!$I$2:$I$648,"&lt;&gt;ausente",Catálogo!$M$2:$M$648,"parcial",Catálogo!$L$2:$L$648,"*area*",Catálogo!$Q$2:$Q$648,{1,2,3,4,5,6,7,8,9})&gt;0,0),0)))&amp;" (parcial)",""),IF(IFERROR(MATCH(TRUE,COUNTIFS(Catálogo!$J$2:$J$648,"*"&amp;$A8&amp;"*",Catálogo!$I$2:$I$648,"&lt;&gt;ausente",Catálogo!$M$2:$M$648,"parcial",Catálogo!$L$2:$L$648,"*area*",Catálogo!$Q$2:$Q$648,{1,2,3,4,5,6,7,8,9})&gt;0,0),0)&gt;0,INDEX(Niveles!$C$2:$C$10,IFERROR(MATCH(TRUE,COUNTIFS(Catálogo!$J$2:$J$648,"*"&amp;$A8&amp;"*",Catálogo!$I$2:$I$648,"&lt;&gt;ausente",Catálogo!$M$2:$M$648,"parcial",Catálogo!$L$2:$L$648,"*area*",Catálogo!$Q$2:$Q$648,{1,2,3,4,5,6,7,8,9})&gt;0,0),0))&amp;" (parcial)","—"))</f>
        <v>—</v>
      </c>
      <c r="Q8" s="8" t="str">
        <f>IF(COUNTIFS(Cifras!$A$2:$A$399,$A8,Cifras!$E$2:$E$399,"Sí",Cifras!$F$2:$F$399,"Sí",Cifras!$D$2:$D$399,"distrito")&gt;0,"Distrito",IF(COUNTIFS(Cifras!$A$2:$A$399,$A8,Cifras!$E$2:$E$399,"Sí",Cifras!$F$2:$F$399,"Sí",Cifras!$D$2:$D$399,"comuna")&gt;0,"Comuna",IF(COUNTIFS(Cifras!$A$2:$A$399,$A8,Cifras!$E$2:$E$399,"Sí",Cifras!$F$2:$F$399,"Sí",Cifras!$D$2:$D$399,"partido")&gt;0,"Partido",IF(COUNTIFS(Cifras!$A$2:$A$399,$A8,Cifras!$E$2:$E$399,"Sí",Cifras!$F$2:$F$399,"Sí",Cifras!$D$2:$D$399,"departamento")&gt;0,"Departamento",IF(COUNTIFS(Cifras!$A$2:$A$399,$A8,Cifras!$E$2:$E$399,"Sí",Cifras!$F$2:$F$399,"Sí",Cifras!$D$2:$D$399,"provincia")&gt;0,"Provincia",IF(COUNTIFS(Cifras!$A$2:$A$399,$A8,Cifras!$E$2:$E$399,"Sí",Cifras!$F$2:$F$399,"Sí",Cifras!$D$2:$D$399,"region")&gt;0,"Región",IF(COUNTIFS(Cifras!$A$2:$A$399,$A8,Cifras!$E$2:$E$399,"Sí",Cifras!$F$2:$F$399,"Sí",Cifras!$D$2:$D$399,"pais")&gt;0,"País","—")))))))</f>
        <v>—</v>
      </c>
      <c r="R8" s="9" t="str">
        <f>IF(IFERROR(MATCH(TRUE,COUNTIFS(Catálogo!$J$2:$J$648,"*"&amp;$A8&amp;"*",Catálogo!$I$2:$I$648,"&lt;&gt;ausente",Catálogo!$M$2:$M$648,"completa",Catálogo!$L$2:$L$648,"*area*",Catálogo!$L$2:$L$648,"*sexo*",Catálogo!$Q$2:$Q$648,{1,2,3,4,5,6,7,8,9})&gt;0,0),0)&gt;0,INDEX(Niveles!$C$2:$C$10,IFERROR(MATCH(TRUE,COUNTIFS(Catálogo!$J$2:$J$648,"*"&amp;$A8&amp;"*",Catálogo!$I$2:$I$648,"&lt;&gt;ausente",Catálogo!$M$2:$M$648,"completa",Catálogo!$L$2:$L$648,"*area*",Catálogo!$L$2:$L$648,"*sexo*",Catálogo!$Q$2:$Q$648,{1,2,3,4,5,6,7,8,9})&gt;0,0),0))&amp;IF(AND(IFERROR(MATCH(TRUE,COUNTIFS(Catálogo!$J$2:$J$648,"*"&amp;$A8&amp;"*",Catálogo!$I$2:$I$648,"&lt;&gt;ausente",Catálogo!$M$2:$M$648,"parcial",Catálogo!$L$2:$L$648,"*area*",Catálogo!$L$2:$L$648,"*sexo*",Catálogo!$Q$2:$Q$648,{1,2,3,4,5,6,7,8,9})&gt;0,0),0)&gt;0,IFERROR(MATCH(TRUE,COUNTIFS(Catálogo!$J$2:$J$648,"*"&amp;$A8&amp;"*",Catálogo!$I$2:$I$648,"&lt;&gt;ausente",Catálogo!$M$2:$M$648,"parcial",Catálogo!$L$2:$L$648,"*area*",Catálogo!$L$2:$L$648,"*sexo*",Catálogo!$Q$2:$Q$648,{1,2,3,4,5,6,7,8,9})&gt;0,0),0)&lt;IFERROR(MATCH(TRUE,COUNTIFS(Catálogo!$J$2:$J$648,"*"&amp;$A8&amp;"*",Catálogo!$I$2:$I$648,"&lt;&gt;ausente",Catálogo!$M$2:$M$648,"completa",Catálogo!$L$2:$L$648,"*area*",Catálogo!$L$2:$L$648,"*sexo*",Catálogo!$Q$2:$Q$648,{1,2,3,4,5,6,7,8,9})&gt;0,0),0)),"; "&amp;LOWER(INDEX(Niveles!$C$2:$C$10,IFERROR(MATCH(TRUE,COUNTIFS(Catálogo!$J$2:$J$648,"*"&amp;$A8&amp;"*",Catálogo!$I$2:$I$648,"&lt;&gt;ausente",Catálogo!$M$2:$M$648,"parcial",Catálogo!$L$2:$L$648,"*area*",Catálogo!$L$2:$L$648,"*sexo*",Catálogo!$Q$2:$Q$648,{1,2,3,4,5,6,7,8,9})&gt;0,0),0)))&amp;" (parcial)",""),IF(IFERROR(MATCH(TRUE,COUNTIFS(Catálogo!$J$2:$J$648,"*"&amp;$A8&amp;"*",Catálogo!$I$2:$I$648,"&lt;&gt;ausente",Catálogo!$M$2:$M$648,"parcial",Catálogo!$L$2:$L$648,"*area*",Catálogo!$L$2:$L$648,"*sexo*",Catálogo!$Q$2:$Q$648,{1,2,3,4,5,6,7,8,9})&gt;0,0),0)&gt;0,INDEX(Niveles!$C$2:$C$10,IFERROR(MATCH(TRUE,COUNTIFS(Catálogo!$J$2:$J$648,"*"&amp;$A8&amp;"*",Catálogo!$I$2:$I$648,"&lt;&gt;ausente",Catálogo!$M$2:$M$648,"parcial",Catálogo!$L$2:$L$648,"*area*",Catálogo!$L$2:$L$648,"*sexo*",Catálogo!$Q$2:$Q$648,{1,2,3,4,5,6,7,8,9})&gt;0,0),0))&amp;" (parcial)","—"))</f>
        <v>—</v>
      </c>
      <c r="S8" s="8" t="str">
        <f>IF(COUNTIFS(Cifras!$A$2:$A$399,$A8,Cifras!$F$2:$F$399,"Sí",Cifras!$G$2:$G$399,"Sí",Cifras!$D$2:$D$399,"distrito")&gt;0,"Distrito",IF(COUNTIFS(Cifras!$A$2:$A$399,$A8,Cifras!$F$2:$F$399,"Sí",Cifras!$G$2:$G$399,"Sí",Cifras!$D$2:$D$399,"comuna")&gt;0,"Comuna",IF(COUNTIFS(Cifras!$A$2:$A$399,$A8,Cifras!$F$2:$F$399,"Sí",Cifras!$G$2:$G$399,"Sí",Cifras!$D$2:$D$399,"partido")&gt;0,"Partido",IF(COUNTIFS(Cifras!$A$2:$A$399,$A8,Cifras!$F$2:$F$399,"Sí",Cifras!$G$2:$G$399,"Sí",Cifras!$D$2:$D$399,"departamento")&gt;0,"Departamento",IF(COUNTIFS(Cifras!$A$2:$A$399,$A8,Cifras!$F$2:$F$399,"Sí",Cifras!$G$2:$G$399,"Sí",Cifras!$D$2:$D$399,"provincia")&gt;0,"Provincia",IF(COUNTIFS(Cifras!$A$2:$A$399,$A8,Cifras!$F$2:$F$399,"Sí",Cifras!$G$2:$G$399,"Sí",Cifras!$D$2:$D$399,"region")&gt;0,"Región",IF(COUNTIFS(Cifras!$A$2:$A$399,$A8,Cifras!$F$2:$F$399,"Sí",Cifras!$G$2:$G$399,"Sí",Cifras!$D$2:$D$399,"pais")&gt;0,"País","—")))))))</f>
        <v>—</v>
      </c>
      <c r="T8" s="9" t="str">
        <f>IF(IFERROR(MATCH(TRUE,COUNTIFS(Catálogo!$J$2:$J$648,"*"&amp;$A8&amp;"*",Catálogo!$I$2:$I$648,"&lt;&gt;ausente",Catálogo!$M$2:$M$648,"completa",Catálogo!$L$2:$L$648,"*sexo*",Catálogo!$L$2:$L$648,"*edad*",Catálogo!$Q$2:$Q$648,{1,2,3,4,5,6,7,8,9})&gt;0,0),0)&gt;0,INDEX(Niveles!$C$2:$C$10,IFERROR(MATCH(TRUE,COUNTIFS(Catálogo!$J$2:$J$648,"*"&amp;$A8&amp;"*",Catálogo!$I$2:$I$648,"&lt;&gt;ausente",Catálogo!$M$2:$M$648,"completa",Catálogo!$L$2:$L$648,"*sexo*",Catálogo!$L$2:$L$648,"*edad*",Catálogo!$Q$2:$Q$648,{1,2,3,4,5,6,7,8,9})&gt;0,0),0))&amp;IF(AND(IFERROR(MATCH(TRUE,COUNTIFS(Catálogo!$J$2:$J$648,"*"&amp;$A8&amp;"*",Catálogo!$I$2:$I$648,"&lt;&gt;ausente",Catálogo!$M$2:$M$648,"parcial",Catálogo!$L$2:$L$648,"*sexo*",Catálogo!$L$2:$L$648,"*edad*",Catálogo!$Q$2:$Q$648,{1,2,3,4,5,6,7,8,9})&gt;0,0),0)&gt;0,IFERROR(MATCH(TRUE,COUNTIFS(Catálogo!$J$2:$J$648,"*"&amp;$A8&amp;"*",Catálogo!$I$2:$I$648,"&lt;&gt;ausente",Catálogo!$M$2:$M$648,"parcial",Catálogo!$L$2:$L$648,"*sexo*",Catálogo!$L$2:$L$648,"*edad*",Catálogo!$Q$2:$Q$648,{1,2,3,4,5,6,7,8,9})&gt;0,0),0)&lt;IFERROR(MATCH(TRUE,COUNTIFS(Catálogo!$J$2:$J$648,"*"&amp;$A8&amp;"*",Catálogo!$I$2:$I$648,"&lt;&gt;ausente",Catálogo!$M$2:$M$648,"completa",Catálogo!$L$2:$L$648,"*sexo*",Catálogo!$L$2:$L$648,"*edad*",Catálogo!$Q$2:$Q$648,{1,2,3,4,5,6,7,8,9})&gt;0,0),0)),"; "&amp;LOWER(INDEX(Niveles!$C$2:$C$10,IFERROR(MATCH(TRUE,COUNTIFS(Catálogo!$J$2:$J$648,"*"&amp;$A8&amp;"*",Catálogo!$I$2:$I$648,"&lt;&gt;ausente",Catálogo!$M$2:$M$648,"parcial",Catálogo!$L$2:$L$648,"*sexo*",Catálogo!$L$2:$L$648,"*edad*",Catálogo!$Q$2:$Q$648,{1,2,3,4,5,6,7,8,9})&gt;0,0),0)))&amp;" (parcial)",""),IF(IFERROR(MATCH(TRUE,COUNTIFS(Catálogo!$J$2:$J$648,"*"&amp;$A8&amp;"*",Catálogo!$I$2:$I$648,"&lt;&gt;ausente",Catálogo!$M$2:$M$648,"parcial",Catálogo!$L$2:$L$648,"*sexo*",Catálogo!$L$2:$L$648,"*edad*",Catálogo!$Q$2:$Q$648,{1,2,3,4,5,6,7,8,9})&gt;0,0),0)&gt;0,INDEX(Niveles!$C$2:$C$10,IFERROR(MATCH(TRUE,COUNTIFS(Catálogo!$J$2:$J$648,"*"&amp;$A8&amp;"*",Catálogo!$I$2:$I$648,"&lt;&gt;ausente",Catálogo!$M$2:$M$648,"parcial",Catálogo!$L$2:$L$648,"*sexo*",Catálogo!$L$2:$L$648,"*edad*",Catálogo!$Q$2:$Q$648,{1,2,3,4,5,6,7,8,9})&gt;0,0),0))&amp;" (parcial)","—"))</f>
        <v>—</v>
      </c>
      <c r="U8" s="7">
        <f>SUMIFS(Cifras!$J$2:$J$399,Cifras!$A$2:$A$399,$A8)</f>
        <v>0</v>
      </c>
      <c r="V8" s="12" t="s">
        <v>34</v>
      </c>
      <c r="W8" s="11" t="s">
        <v>37</v>
      </c>
      <c r="X8" s="11" t="s">
        <v>38</v>
      </c>
    </row>
    <row r="9" spans="1:24" ht="89.25" x14ac:dyDescent="0.25">
      <c r="A9" s="5">
        <v>1865</v>
      </c>
      <c r="B9" s="6" t="s">
        <v>39</v>
      </c>
      <c r="C9" s="7">
        <v>425</v>
      </c>
      <c r="D9" s="7">
        <f>COUNTIFS(Catálogo!$B$2:$B$648,$A9)</f>
        <v>32</v>
      </c>
      <c r="E9" s="7">
        <f>COUNTIFS(Catálogo!$B$2:$B$648,$A9,Catálogo!$F$2:$F$648,"cuadro")</f>
        <v>15</v>
      </c>
      <c r="F9" s="7">
        <f>COUNTIFS(Catálogo!$B$2:$B$648,$A9,Catálogo!$F$2:$F$648,"bloque")</f>
        <v>14</v>
      </c>
      <c r="G9" s="7">
        <f>COUNTIFS(Catálogo!$B$2:$B$648,$A9,Catálogo!$F$2:$F$648,"texto")</f>
        <v>3</v>
      </c>
      <c r="H9" s="7">
        <f>COUNTIFS(Catálogo!$B$2:$B$648,$A9,Catálogo!$I$2:$I$648,"verificada")</f>
        <v>15</v>
      </c>
      <c r="I9" s="7">
        <f>COUNTIFS(Catálogo!$B$2:$B$648,$A9,Catálogo!$I$2:$I$648,"estimada")</f>
        <v>15</v>
      </c>
      <c r="J9" s="7">
        <f>COUNTIFS(Catálogo!$B$2:$B$648,$A9,Catálogo!$I$2:$I$648,"desconocida")+COUNTIFS(Catálogo!$B$2:$B$648,$A9,Catálogo!$I$2:$I$648,"ausente")</f>
        <v>2</v>
      </c>
      <c r="K9" s="7">
        <f>COUNTIFS(Catálogo!$B$2:$B$648,$A9,Catálogo!$O$2:$O$648,"transcrito")</f>
        <v>3</v>
      </c>
      <c r="L9" s="7">
        <f>SUMIFS(Cifras!$H$2:$H$399,Cifras!$A$2:$A$399,$A9)</f>
        <v>1887</v>
      </c>
      <c r="M9" s="8" t="str">
        <f>IF(COUNTIFS(Cifras!$A$2:$A$399,$A9,Cifras!$D$2:$D$399,"distrito")&gt;0,"Distrito",IF(COUNTIFS(Cifras!$A$2:$A$399,$A9,Cifras!$D$2:$D$399,"comuna")&gt;0,"Comuna",IF(COUNTIFS(Cifras!$A$2:$A$399,$A9,Cifras!$D$2:$D$399,"partido")&gt;0,"Partido",IF(COUNTIFS(Cifras!$A$2:$A$399,$A9,Cifras!$D$2:$D$399,"departamento")&gt;0,"Departamento",IF(COUNTIFS(Cifras!$A$2:$A$399,$A9,Cifras!$D$2:$D$399,"provincia")&gt;0,"Provincia",IF(COUNTIFS(Cifras!$A$2:$A$399,$A9,Cifras!$D$2:$D$399,"region")&gt;0,"Región",IF(COUNTIFS(Cifras!$A$2:$A$399,$A9,Cifras!$D$2:$D$399,"pais")&gt;0,"País","—")))))))</f>
        <v>Departamento</v>
      </c>
      <c r="N9" s="9" t="str">
        <f>IF(IFERROR(MATCH(TRUE,COUNTIFS(Catálogo!$J$2:$J$648,"*"&amp;$A9&amp;"*",Catálogo!$I$2:$I$648,"&lt;&gt;ausente",Catálogo!$M$2:$M$648,"completa",Catálogo!$Q$2:$Q$648,{1,2,3,4,5,6,7,8,9})&gt;0,0),0)&gt;0,INDEX(Niveles!$C$2:$C$10,IFERROR(MATCH(TRUE,COUNTIFS(Catálogo!$J$2:$J$648,"*"&amp;$A9&amp;"*",Catálogo!$I$2:$I$648,"&lt;&gt;ausente",Catálogo!$M$2:$M$648,"completa",Catálogo!$Q$2:$Q$648,{1,2,3,4,5,6,7,8,9})&gt;0,0),0))&amp;IF(AND(IFERROR(MATCH(TRUE,COUNTIFS(Catálogo!$J$2:$J$648,"*"&amp;$A9&amp;"*",Catálogo!$I$2:$I$648,"&lt;&gt;ausente",Catálogo!$M$2:$M$648,"parcial",Catálogo!$Q$2:$Q$648,{1,2,3,4,5,6,7,8,9})&gt;0,0),0)&gt;0,IFERROR(MATCH(TRUE,COUNTIFS(Catálogo!$J$2:$J$648,"*"&amp;$A9&amp;"*",Catálogo!$I$2:$I$648,"&lt;&gt;ausente",Catálogo!$M$2:$M$648,"parcial",Catálogo!$Q$2:$Q$648,{1,2,3,4,5,6,7,8,9})&gt;0,0),0)&lt;IFERROR(MATCH(TRUE,COUNTIFS(Catálogo!$J$2:$J$648,"*"&amp;$A9&amp;"*",Catálogo!$I$2:$I$648,"&lt;&gt;ausente",Catálogo!$M$2:$M$648,"completa",Catálogo!$Q$2:$Q$648,{1,2,3,4,5,6,7,8,9})&gt;0,0),0)),"; "&amp;LOWER(INDEX(Niveles!$C$2:$C$10,IFERROR(MATCH(TRUE,COUNTIFS(Catálogo!$J$2:$J$648,"*"&amp;$A9&amp;"*",Catálogo!$I$2:$I$648,"&lt;&gt;ausente",Catálogo!$M$2:$M$648,"parcial",Catálogo!$Q$2:$Q$648,{1,2,3,4,5,6,7,8,9})&gt;0,0),0)))&amp;" (parcial)",""),IF(IFERROR(MATCH(TRUE,COUNTIFS(Catálogo!$J$2:$J$648,"*"&amp;$A9&amp;"*",Catálogo!$I$2:$I$648,"&lt;&gt;ausente",Catálogo!$M$2:$M$648,"parcial",Catálogo!$Q$2:$Q$648,{1,2,3,4,5,6,7,8,9})&gt;0,0),0)&gt;0,INDEX(Niveles!$C$2:$C$10,IFERROR(MATCH(TRUE,COUNTIFS(Catálogo!$J$2:$J$648,"*"&amp;$A9&amp;"*",Catálogo!$I$2:$I$648,"&lt;&gt;ausente",Catálogo!$M$2:$M$648,"parcial",Catálogo!$Q$2:$Q$648,{1,2,3,4,5,6,7,8,9})&gt;0,0),0))&amp;" (parcial)","—"))</f>
        <v>Distrito</v>
      </c>
      <c r="O9" s="8" t="str">
        <f>IF(COUNTIFS(Cifras!$A$2:$A$399,$A9,Cifras!$E$2:$E$399,"Sí",Cifras!$D$2:$D$399,"distrito")&gt;0,"Distrito",IF(COUNTIFS(Cifras!$A$2:$A$399,$A9,Cifras!$E$2:$E$399,"Sí",Cifras!$D$2:$D$399,"comuna")&gt;0,"Comuna",IF(COUNTIFS(Cifras!$A$2:$A$399,$A9,Cifras!$E$2:$E$399,"Sí",Cifras!$D$2:$D$399,"partido")&gt;0,"Partido",IF(COUNTIFS(Cifras!$A$2:$A$399,$A9,Cifras!$E$2:$E$399,"Sí",Cifras!$D$2:$D$399,"departamento")&gt;0,"Departamento",IF(COUNTIFS(Cifras!$A$2:$A$399,$A9,Cifras!$E$2:$E$399,"Sí",Cifras!$D$2:$D$399,"provincia")&gt;0,"Provincia",IF(COUNTIFS(Cifras!$A$2:$A$399,$A9,Cifras!$E$2:$E$399,"Sí",Cifras!$D$2:$D$399,"region")&gt;0,"Región",IF(COUNTIFS(Cifras!$A$2:$A$399,$A9,Cifras!$E$2:$E$399,"Sí",Cifras!$D$2:$D$399,"pais")&gt;0,"País","—")))))))</f>
        <v>Provincia</v>
      </c>
      <c r="P9" s="9" t="str">
        <f>IF(IFERROR(MATCH(TRUE,COUNTIFS(Catálogo!$J$2:$J$648,"*"&amp;$A9&amp;"*",Catálogo!$I$2:$I$648,"&lt;&gt;ausente",Catálogo!$M$2:$M$648,"completa",Catálogo!$L$2:$L$648,"*area*",Catálogo!$Q$2:$Q$648,{1,2,3,4,5,6,7,8,9})&gt;0,0),0)&gt;0,INDEX(Niveles!$C$2:$C$10,IFERROR(MATCH(TRUE,COUNTIFS(Catálogo!$J$2:$J$648,"*"&amp;$A9&amp;"*",Catálogo!$I$2:$I$648,"&lt;&gt;ausente",Catálogo!$M$2:$M$648,"completa",Catálogo!$L$2:$L$648,"*area*",Catálogo!$Q$2:$Q$648,{1,2,3,4,5,6,7,8,9})&gt;0,0),0))&amp;IF(AND(IFERROR(MATCH(TRUE,COUNTIFS(Catálogo!$J$2:$J$648,"*"&amp;$A9&amp;"*",Catálogo!$I$2:$I$648,"&lt;&gt;ausente",Catálogo!$M$2:$M$648,"parcial",Catálogo!$L$2:$L$648,"*area*",Catálogo!$Q$2:$Q$648,{1,2,3,4,5,6,7,8,9})&gt;0,0),0)&gt;0,IFERROR(MATCH(TRUE,COUNTIFS(Catálogo!$J$2:$J$648,"*"&amp;$A9&amp;"*",Catálogo!$I$2:$I$648,"&lt;&gt;ausente",Catálogo!$M$2:$M$648,"parcial",Catálogo!$L$2:$L$648,"*area*",Catálogo!$Q$2:$Q$648,{1,2,3,4,5,6,7,8,9})&gt;0,0),0)&lt;IFERROR(MATCH(TRUE,COUNTIFS(Catálogo!$J$2:$J$648,"*"&amp;$A9&amp;"*",Catálogo!$I$2:$I$648,"&lt;&gt;ausente",Catálogo!$M$2:$M$648,"completa",Catálogo!$L$2:$L$648,"*area*",Catálogo!$Q$2:$Q$648,{1,2,3,4,5,6,7,8,9})&gt;0,0),0)),"; "&amp;LOWER(INDEX(Niveles!$C$2:$C$10,IFERROR(MATCH(TRUE,COUNTIFS(Catálogo!$J$2:$J$648,"*"&amp;$A9&amp;"*",Catálogo!$I$2:$I$648,"&lt;&gt;ausente",Catálogo!$M$2:$M$648,"parcial",Catálogo!$L$2:$L$648,"*area*",Catálogo!$Q$2:$Q$648,{1,2,3,4,5,6,7,8,9})&gt;0,0),0)))&amp;" (parcial)",""),IF(IFERROR(MATCH(TRUE,COUNTIFS(Catálogo!$J$2:$J$648,"*"&amp;$A9&amp;"*",Catálogo!$I$2:$I$648,"&lt;&gt;ausente",Catálogo!$M$2:$M$648,"parcial",Catálogo!$L$2:$L$648,"*area*",Catálogo!$Q$2:$Q$648,{1,2,3,4,5,6,7,8,9})&gt;0,0),0)&gt;0,INDEX(Niveles!$C$2:$C$10,IFERROR(MATCH(TRUE,COUNTIFS(Catálogo!$J$2:$J$648,"*"&amp;$A9&amp;"*",Catálogo!$I$2:$I$648,"&lt;&gt;ausente",Catálogo!$M$2:$M$648,"parcial",Catálogo!$L$2:$L$648,"*area*",Catálogo!$Q$2:$Q$648,{1,2,3,4,5,6,7,8,9})&gt;0,0),0))&amp;" (parcial)","—"))</f>
        <v>Provincia</v>
      </c>
      <c r="Q9" s="8" t="str">
        <f>IF(COUNTIFS(Cifras!$A$2:$A$399,$A9,Cifras!$E$2:$E$399,"Sí",Cifras!$F$2:$F$399,"Sí",Cifras!$D$2:$D$399,"distrito")&gt;0,"Distrito",IF(COUNTIFS(Cifras!$A$2:$A$399,$A9,Cifras!$E$2:$E$399,"Sí",Cifras!$F$2:$F$399,"Sí",Cifras!$D$2:$D$399,"comuna")&gt;0,"Comuna",IF(COUNTIFS(Cifras!$A$2:$A$399,$A9,Cifras!$E$2:$E$399,"Sí",Cifras!$F$2:$F$399,"Sí",Cifras!$D$2:$D$399,"partido")&gt;0,"Partido",IF(COUNTIFS(Cifras!$A$2:$A$399,$A9,Cifras!$E$2:$E$399,"Sí",Cifras!$F$2:$F$399,"Sí",Cifras!$D$2:$D$399,"departamento")&gt;0,"Departamento",IF(COUNTIFS(Cifras!$A$2:$A$399,$A9,Cifras!$E$2:$E$399,"Sí",Cifras!$F$2:$F$399,"Sí",Cifras!$D$2:$D$399,"provincia")&gt;0,"Provincia",IF(COUNTIFS(Cifras!$A$2:$A$399,$A9,Cifras!$E$2:$E$399,"Sí",Cifras!$F$2:$F$399,"Sí",Cifras!$D$2:$D$399,"region")&gt;0,"Región",IF(COUNTIFS(Cifras!$A$2:$A$399,$A9,Cifras!$E$2:$E$399,"Sí",Cifras!$F$2:$F$399,"Sí",Cifras!$D$2:$D$399,"pais")&gt;0,"País","—")))))))</f>
        <v>—</v>
      </c>
      <c r="R9" s="9" t="str">
        <f>IF(IFERROR(MATCH(TRUE,COUNTIFS(Catálogo!$J$2:$J$648,"*"&amp;$A9&amp;"*",Catálogo!$I$2:$I$648,"&lt;&gt;ausente",Catálogo!$M$2:$M$648,"completa",Catálogo!$L$2:$L$648,"*area*",Catálogo!$L$2:$L$648,"*sexo*",Catálogo!$Q$2:$Q$648,{1,2,3,4,5,6,7,8,9})&gt;0,0),0)&gt;0,INDEX(Niveles!$C$2:$C$10,IFERROR(MATCH(TRUE,COUNTIFS(Catálogo!$J$2:$J$648,"*"&amp;$A9&amp;"*",Catálogo!$I$2:$I$648,"&lt;&gt;ausente",Catálogo!$M$2:$M$648,"completa",Catálogo!$L$2:$L$648,"*area*",Catálogo!$L$2:$L$648,"*sexo*",Catálogo!$Q$2:$Q$648,{1,2,3,4,5,6,7,8,9})&gt;0,0),0))&amp;IF(AND(IFERROR(MATCH(TRUE,COUNTIFS(Catálogo!$J$2:$J$648,"*"&amp;$A9&amp;"*",Catálogo!$I$2:$I$648,"&lt;&gt;ausente",Catálogo!$M$2:$M$648,"parcial",Catálogo!$L$2:$L$648,"*area*",Catálogo!$L$2:$L$648,"*sexo*",Catálogo!$Q$2:$Q$648,{1,2,3,4,5,6,7,8,9})&gt;0,0),0)&gt;0,IFERROR(MATCH(TRUE,COUNTIFS(Catálogo!$J$2:$J$648,"*"&amp;$A9&amp;"*",Catálogo!$I$2:$I$648,"&lt;&gt;ausente",Catálogo!$M$2:$M$648,"parcial",Catálogo!$L$2:$L$648,"*area*",Catálogo!$L$2:$L$648,"*sexo*",Catálogo!$Q$2:$Q$648,{1,2,3,4,5,6,7,8,9})&gt;0,0),0)&lt;IFERROR(MATCH(TRUE,COUNTIFS(Catálogo!$J$2:$J$648,"*"&amp;$A9&amp;"*",Catálogo!$I$2:$I$648,"&lt;&gt;ausente",Catálogo!$M$2:$M$648,"completa",Catálogo!$L$2:$L$648,"*area*",Catálogo!$L$2:$L$648,"*sexo*",Catálogo!$Q$2:$Q$648,{1,2,3,4,5,6,7,8,9})&gt;0,0),0)),"; "&amp;LOWER(INDEX(Niveles!$C$2:$C$10,IFERROR(MATCH(TRUE,COUNTIFS(Catálogo!$J$2:$J$648,"*"&amp;$A9&amp;"*",Catálogo!$I$2:$I$648,"&lt;&gt;ausente",Catálogo!$M$2:$M$648,"parcial",Catálogo!$L$2:$L$648,"*area*",Catálogo!$L$2:$L$648,"*sexo*",Catálogo!$Q$2:$Q$648,{1,2,3,4,5,6,7,8,9})&gt;0,0),0)))&amp;" (parcial)",""),IF(IFERROR(MATCH(TRUE,COUNTIFS(Catálogo!$J$2:$J$648,"*"&amp;$A9&amp;"*",Catálogo!$I$2:$I$648,"&lt;&gt;ausente",Catálogo!$M$2:$M$648,"parcial",Catálogo!$L$2:$L$648,"*area*",Catálogo!$L$2:$L$648,"*sexo*",Catálogo!$Q$2:$Q$648,{1,2,3,4,5,6,7,8,9})&gt;0,0),0)&gt;0,INDEX(Niveles!$C$2:$C$10,IFERROR(MATCH(TRUE,COUNTIFS(Catálogo!$J$2:$J$648,"*"&amp;$A9&amp;"*",Catálogo!$I$2:$I$648,"&lt;&gt;ausente",Catálogo!$M$2:$M$648,"parcial",Catálogo!$L$2:$L$648,"*area*",Catálogo!$L$2:$L$648,"*sexo*",Catálogo!$Q$2:$Q$648,{1,2,3,4,5,6,7,8,9})&gt;0,0),0))&amp;" (parcial)","—"))</f>
        <v>—</v>
      </c>
      <c r="S9" s="8" t="str">
        <f>IF(COUNTIFS(Cifras!$A$2:$A$399,$A9,Cifras!$F$2:$F$399,"Sí",Cifras!$G$2:$G$399,"Sí",Cifras!$D$2:$D$399,"distrito")&gt;0,"Distrito",IF(COUNTIFS(Cifras!$A$2:$A$399,$A9,Cifras!$F$2:$F$399,"Sí",Cifras!$G$2:$G$399,"Sí",Cifras!$D$2:$D$399,"comuna")&gt;0,"Comuna",IF(COUNTIFS(Cifras!$A$2:$A$399,$A9,Cifras!$F$2:$F$399,"Sí",Cifras!$G$2:$G$399,"Sí",Cifras!$D$2:$D$399,"partido")&gt;0,"Partido",IF(COUNTIFS(Cifras!$A$2:$A$399,$A9,Cifras!$F$2:$F$399,"Sí",Cifras!$G$2:$G$399,"Sí",Cifras!$D$2:$D$399,"departamento")&gt;0,"Departamento",IF(COUNTIFS(Cifras!$A$2:$A$399,$A9,Cifras!$F$2:$F$399,"Sí",Cifras!$G$2:$G$399,"Sí",Cifras!$D$2:$D$399,"provincia")&gt;0,"Provincia",IF(COUNTIFS(Cifras!$A$2:$A$399,$A9,Cifras!$F$2:$F$399,"Sí",Cifras!$G$2:$G$399,"Sí",Cifras!$D$2:$D$399,"region")&gt;0,"Región",IF(COUNTIFS(Cifras!$A$2:$A$399,$A9,Cifras!$F$2:$F$399,"Sí",Cifras!$G$2:$G$399,"Sí",Cifras!$D$2:$D$399,"pais")&gt;0,"País","—")))))))</f>
        <v>Departamento</v>
      </c>
      <c r="T9" s="9" t="str">
        <f>IF(IFERROR(MATCH(TRUE,COUNTIFS(Catálogo!$J$2:$J$648,"*"&amp;$A9&amp;"*",Catálogo!$I$2:$I$648,"&lt;&gt;ausente",Catálogo!$M$2:$M$648,"completa",Catálogo!$L$2:$L$648,"*sexo*",Catálogo!$L$2:$L$648,"*edad*",Catálogo!$Q$2:$Q$648,{1,2,3,4,5,6,7,8,9})&gt;0,0),0)&gt;0,INDEX(Niveles!$C$2:$C$10,IFERROR(MATCH(TRUE,COUNTIFS(Catálogo!$J$2:$J$648,"*"&amp;$A9&amp;"*",Catálogo!$I$2:$I$648,"&lt;&gt;ausente",Catálogo!$M$2:$M$648,"completa",Catálogo!$L$2:$L$648,"*sexo*",Catálogo!$L$2:$L$648,"*edad*",Catálogo!$Q$2:$Q$648,{1,2,3,4,5,6,7,8,9})&gt;0,0),0))&amp;IF(AND(IFERROR(MATCH(TRUE,COUNTIFS(Catálogo!$J$2:$J$648,"*"&amp;$A9&amp;"*",Catálogo!$I$2:$I$648,"&lt;&gt;ausente",Catálogo!$M$2:$M$648,"parcial",Catálogo!$L$2:$L$648,"*sexo*",Catálogo!$L$2:$L$648,"*edad*",Catálogo!$Q$2:$Q$648,{1,2,3,4,5,6,7,8,9})&gt;0,0),0)&gt;0,IFERROR(MATCH(TRUE,COUNTIFS(Catálogo!$J$2:$J$648,"*"&amp;$A9&amp;"*",Catálogo!$I$2:$I$648,"&lt;&gt;ausente",Catálogo!$M$2:$M$648,"parcial",Catálogo!$L$2:$L$648,"*sexo*",Catálogo!$L$2:$L$648,"*edad*",Catálogo!$Q$2:$Q$648,{1,2,3,4,5,6,7,8,9})&gt;0,0),0)&lt;IFERROR(MATCH(TRUE,COUNTIFS(Catálogo!$J$2:$J$648,"*"&amp;$A9&amp;"*",Catálogo!$I$2:$I$648,"&lt;&gt;ausente",Catálogo!$M$2:$M$648,"completa",Catálogo!$L$2:$L$648,"*sexo*",Catálogo!$L$2:$L$648,"*edad*",Catálogo!$Q$2:$Q$648,{1,2,3,4,5,6,7,8,9})&gt;0,0),0)),"; "&amp;LOWER(INDEX(Niveles!$C$2:$C$10,IFERROR(MATCH(TRUE,COUNTIFS(Catálogo!$J$2:$J$648,"*"&amp;$A9&amp;"*",Catálogo!$I$2:$I$648,"&lt;&gt;ausente",Catálogo!$M$2:$M$648,"parcial",Catálogo!$L$2:$L$648,"*sexo*",Catálogo!$L$2:$L$648,"*edad*",Catálogo!$Q$2:$Q$648,{1,2,3,4,5,6,7,8,9})&gt;0,0),0)))&amp;" (parcial)",""),IF(IFERROR(MATCH(TRUE,COUNTIFS(Catálogo!$J$2:$J$648,"*"&amp;$A9&amp;"*",Catálogo!$I$2:$I$648,"&lt;&gt;ausente",Catálogo!$M$2:$M$648,"parcial",Catálogo!$L$2:$L$648,"*sexo*",Catálogo!$L$2:$L$648,"*edad*",Catálogo!$Q$2:$Q$648,{1,2,3,4,5,6,7,8,9})&gt;0,0),0)&gt;0,INDEX(Niveles!$C$2:$C$10,IFERROR(MATCH(TRUE,COUNTIFS(Catálogo!$J$2:$J$648,"*"&amp;$A9&amp;"*",Catálogo!$I$2:$I$648,"&lt;&gt;ausente",Catálogo!$M$2:$M$648,"parcial",Catálogo!$L$2:$L$648,"*sexo*",Catálogo!$L$2:$L$648,"*edad*",Catálogo!$Q$2:$Q$648,{1,2,3,4,5,6,7,8,9})&gt;0,0),0))&amp;" (parcial)","—"))</f>
        <v>Distrito</v>
      </c>
      <c r="U9" s="7">
        <f>SUMIFS(Cifras!$J$2:$J$399,Cifras!$A$2:$A$399,$A9)</f>
        <v>6</v>
      </c>
      <c r="V9" s="13" t="s">
        <v>40</v>
      </c>
      <c r="W9" s="11" t="s">
        <v>41</v>
      </c>
      <c r="X9" s="11" t="s">
        <v>42</v>
      </c>
    </row>
    <row r="10" spans="1:24" ht="51" x14ac:dyDescent="0.25">
      <c r="A10" s="5">
        <v>1875</v>
      </c>
      <c r="B10" s="6" t="s">
        <v>43</v>
      </c>
      <c r="C10" s="7">
        <v>689</v>
      </c>
      <c r="D10" s="7">
        <f>COUNTIFS(Catálogo!$B$2:$B$648,$A10)</f>
        <v>33</v>
      </c>
      <c r="E10" s="7">
        <f>COUNTIFS(Catálogo!$B$2:$B$648,$A10,Catálogo!$F$2:$F$648,"cuadro")</f>
        <v>13</v>
      </c>
      <c r="F10" s="7">
        <f>COUNTIFS(Catálogo!$B$2:$B$648,$A10,Catálogo!$F$2:$F$648,"bloque")</f>
        <v>19</v>
      </c>
      <c r="G10" s="7">
        <f>COUNTIFS(Catálogo!$B$2:$B$648,$A10,Catálogo!$F$2:$F$648,"texto")</f>
        <v>1</v>
      </c>
      <c r="H10" s="7">
        <f>COUNTIFS(Catálogo!$B$2:$B$648,$A10,Catálogo!$I$2:$I$648,"verificada")</f>
        <v>3</v>
      </c>
      <c r="I10" s="7">
        <f>COUNTIFS(Catálogo!$B$2:$B$648,$A10,Catálogo!$I$2:$I$648,"estimada")</f>
        <v>29</v>
      </c>
      <c r="J10" s="7">
        <f>COUNTIFS(Catálogo!$B$2:$B$648,$A10,Catálogo!$I$2:$I$648,"desconocida")+COUNTIFS(Catálogo!$B$2:$B$648,$A10,Catálogo!$I$2:$I$648,"ausente")</f>
        <v>1</v>
      </c>
      <c r="K10" s="7">
        <f>COUNTIFS(Catálogo!$B$2:$B$648,$A10,Catálogo!$O$2:$O$648,"transcrito")</f>
        <v>3</v>
      </c>
      <c r="L10" s="7">
        <f>SUMIFS(Cifras!$H$2:$H$399,Cifras!$A$2:$A$399,$A10)</f>
        <v>2174</v>
      </c>
      <c r="M10" s="8" t="str">
        <f>IF(COUNTIFS(Cifras!$A$2:$A$399,$A10,Cifras!$D$2:$D$399,"distrito")&gt;0,"Distrito",IF(COUNTIFS(Cifras!$A$2:$A$399,$A10,Cifras!$D$2:$D$399,"comuna")&gt;0,"Comuna",IF(COUNTIFS(Cifras!$A$2:$A$399,$A10,Cifras!$D$2:$D$399,"partido")&gt;0,"Partido",IF(COUNTIFS(Cifras!$A$2:$A$399,$A10,Cifras!$D$2:$D$399,"departamento")&gt;0,"Departamento",IF(COUNTIFS(Cifras!$A$2:$A$399,$A10,Cifras!$D$2:$D$399,"provincia")&gt;0,"Provincia",IF(COUNTIFS(Cifras!$A$2:$A$399,$A10,Cifras!$D$2:$D$399,"region")&gt;0,"Región",IF(COUNTIFS(Cifras!$A$2:$A$399,$A10,Cifras!$D$2:$D$399,"pais")&gt;0,"País","—")))))))</f>
        <v>Departamento</v>
      </c>
      <c r="N10" s="9" t="str">
        <f>IF(IFERROR(MATCH(TRUE,COUNTIFS(Catálogo!$J$2:$J$648,"*"&amp;$A10&amp;"*",Catálogo!$I$2:$I$648,"&lt;&gt;ausente",Catálogo!$M$2:$M$648,"completa",Catálogo!$Q$2:$Q$648,{1,2,3,4,5,6,7,8,9})&gt;0,0),0)&gt;0,INDEX(Niveles!$C$2:$C$10,IFERROR(MATCH(TRUE,COUNTIFS(Catálogo!$J$2:$J$648,"*"&amp;$A10&amp;"*",Catálogo!$I$2:$I$648,"&lt;&gt;ausente",Catálogo!$M$2:$M$648,"completa",Catálogo!$Q$2:$Q$648,{1,2,3,4,5,6,7,8,9})&gt;0,0),0))&amp;IF(AND(IFERROR(MATCH(TRUE,COUNTIFS(Catálogo!$J$2:$J$648,"*"&amp;$A10&amp;"*",Catálogo!$I$2:$I$648,"&lt;&gt;ausente",Catálogo!$M$2:$M$648,"parcial",Catálogo!$Q$2:$Q$648,{1,2,3,4,5,6,7,8,9})&gt;0,0),0)&gt;0,IFERROR(MATCH(TRUE,COUNTIFS(Catálogo!$J$2:$J$648,"*"&amp;$A10&amp;"*",Catálogo!$I$2:$I$648,"&lt;&gt;ausente",Catálogo!$M$2:$M$648,"parcial",Catálogo!$Q$2:$Q$648,{1,2,3,4,5,6,7,8,9})&gt;0,0),0)&lt;IFERROR(MATCH(TRUE,COUNTIFS(Catálogo!$J$2:$J$648,"*"&amp;$A10&amp;"*",Catálogo!$I$2:$I$648,"&lt;&gt;ausente",Catálogo!$M$2:$M$648,"completa",Catálogo!$Q$2:$Q$648,{1,2,3,4,5,6,7,8,9})&gt;0,0),0)),"; "&amp;LOWER(INDEX(Niveles!$C$2:$C$10,IFERROR(MATCH(TRUE,COUNTIFS(Catálogo!$J$2:$J$648,"*"&amp;$A10&amp;"*",Catálogo!$I$2:$I$648,"&lt;&gt;ausente",Catálogo!$M$2:$M$648,"parcial",Catálogo!$Q$2:$Q$648,{1,2,3,4,5,6,7,8,9})&gt;0,0),0)))&amp;" (parcial)",""),IF(IFERROR(MATCH(TRUE,COUNTIFS(Catálogo!$J$2:$J$648,"*"&amp;$A10&amp;"*",Catálogo!$I$2:$I$648,"&lt;&gt;ausente",Catálogo!$M$2:$M$648,"parcial",Catálogo!$Q$2:$Q$648,{1,2,3,4,5,6,7,8,9})&gt;0,0),0)&gt;0,INDEX(Niveles!$C$2:$C$10,IFERROR(MATCH(TRUE,COUNTIFS(Catálogo!$J$2:$J$648,"*"&amp;$A10&amp;"*",Catálogo!$I$2:$I$648,"&lt;&gt;ausente",Catálogo!$M$2:$M$648,"parcial",Catálogo!$Q$2:$Q$648,{1,2,3,4,5,6,7,8,9})&gt;0,0),0))&amp;" (parcial)","—"))</f>
        <v>Distrito</v>
      </c>
      <c r="O10" s="8" t="str">
        <f>IF(COUNTIFS(Cifras!$A$2:$A$399,$A10,Cifras!$E$2:$E$399,"Sí",Cifras!$D$2:$D$399,"distrito")&gt;0,"Distrito",IF(COUNTIFS(Cifras!$A$2:$A$399,$A10,Cifras!$E$2:$E$399,"Sí",Cifras!$D$2:$D$399,"comuna")&gt;0,"Comuna",IF(COUNTIFS(Cifras!$A$2:$A$399,$A10,Cifras!$E$2:$E$399,"Sí",Cifras!$D$2:$D$399,"partido")&gt;0,"Partido",IF(COUNTIFS(Cifras!$A$2:$A$399,$A10,Cifras!$E$2:$E$399,"Sí",Cifras!$D$2:$D$399,"departamento")&gt;0,"Departamento",IF(COUNTIFS(Cifras!$A$2:$A$399,$A10,Cifras!$E$2:$E$399,"Sí",Cifras!$D$2:$D$399,"provincia")&gt;0,"Provincia",IF(COUNTIFS(Cifras!$A$2:$A$399,$A10,Cifras!$E$2:$E$399,"Sí",Cifras!$D$2:$D$399,"region")&gt;0,"Región",IF(COUNTIFS(Cifras!$A$2:$A$399,$A10,Cifras!$E$2:$E$399,"Sí",Cifras!$D$2:$D$399,"pais")&gt;0,"País","—")))))))</f>
        <v>Departamento</v>
      </c>
      <c r="P10" s="9" t="str">
        <f>IF(IFERROR(MATCH(TRUE,COUNTIFS(Catálogo!$J$2:$J$648,"*"&amp;$A10&amp;"*",Catálogo!$I$2:$I$648,"&lt;&gt;ausente",Catálogo!$M$2:$M$648,"completa",Catálogo!$L$2:$L$648,"*area*",Catálogo!$Q$2:$Q$648,{1,2,3,4,5,6,7,8,9})&gt;0,0),0)&gt;0,INDEX(Niveles!$C$2:$C$10,IFERROR(MATCH(TRUE,COUNTIFS(Catálogo!$J$2:$J$648,"*"&amp;$A10&amp;"*",Catálogo!$I$2:$I$648,"&lt;&gt;ausente",Catálogo!$M$2:$M$648,"completa",Catálogo!$L$2:$L$648,"*area*",Catálogo!$Q$2:$Q$648,{1,2,3,4,5,6,7,8,9})&gt;0,0),0))&amp;IF(AND(IFERROR(MATCH(TRUE,COUNTIFS(Catálogo!$J$2:$J$648,"*"&amp;$A10&amp;"*",Catálogo!$I$2:$I$648,"&lt;&gt;ausente",Catálogo!$M$2:$M$648,"parcial",Catálogo!$L$2:$L$648,"*area*",Catálogo!$Q$2:$Q$648,{1,2,3,4,5,6,7,8,9})&gt;0,0),0)&gt;0,IFERROR(MATCH(TRUE,COUNTIFS(Catálogo!$J$2:$J$648,"*"&amp;$A10&amp;"*",Catálogo!$I$2:$I$648,"&lt;&gt;ausente",Catálogo!$M$2:$M$648,"parcial",Catálogo!$L$2:$L$648,"*area*",Catálogo!$Q$2:$Q$648,{1,2,3,4,5,6,7,8,9})&gt;0,0),0)&lt;IFERROR(MATCH(TRUE,COUNTIFS(Catálogo!$J$2:$J$648,"*"&amp;$A10&amp;"*",Catálogo!$I$2:$I$648,"&lt;&gt;ausente",Catálogo!$M$2:$M$648,"completa",Catálogo!$L$2:$L$648,"*area*",Catálogo!$Q$2:$Q$648,{1,2,3,4,5,6,7,8,9})&gt;0,0),0)),"; "&amp;LOWER(INDEX(Niveles!$C$2:$C$10,IFERROR(MATCH(TRUE,COUNTIFS(Catálogo!$J$2:$J$648,"*"&amp;$A10&amp;"*",Catálogo!$I$2:$I$648,"&lt;&gt;ausente",Catálogo!$M$2:$M$648,"parcial",Catálogo!$L$2:$L$648,"*area*",Catálogo!$Q$2:$Q$648,{1,2,3,4,5,6,7,8,9})&gt;0,0),0)))&amp;" (parcial)",""),IF(IFERROR(MATCH(TRUE,COUNTIFS(Catálogo!$J$2:$J$648,"*"&amp;$A10&amp;"*",Catálogo!$I$2:$I$648,"&lt;&gt;ausente",Catálogo!$M$2:$M$648,"parcial",Catálogo!$L$2:$L$648,"*area*",Catálogo!$Q$2:$Q$648,{1,2,3,4,5,6,7,8,9})&gt;0,0),0)&gt;0,INDEX(Niveles!$C$2:$C$10,IFERROR(MATCH(TRUE,COUNTIFS(Catálogo!$J$2:$J$648,"*"&amp;$A10&amp;"*",Catálogo!$I$2:$I$648,"&lt;&gt;ausente",Catálogo!$M$2:$M$648,"parcial",Catálogo!$L$2:$L$648,"*area*",Catálogo!$Q$2:$Q$648,{1,2,3,4,5,6,7,8,9})&gt;0,0),0))&amp;" (parcial)","—"))</f>
        <v>Departamento</v>
      </c>
      <c r="Q10" s="8" t="str">
        <f>IF(COUNTIFS(Cifras!$A$2:$A$399,$A10,Cifras!$E$2:$E$399,"Sí",Cifras!$F$2:$F$399,"Sí",Cifras!$D$2:$D$399,"distrito")&gt;0,"Distrito",IF(COUNTIFS(Cifras!$A$2:$A$399,$A10,Cifras!$E$2:$E$399,"Sí",Cifras!$F$2:$F$399,"Sí",Cifras!$D$2:$D$399,"comuna")&gt;0,"Comuna",IF(COUNTIFS(Cifras!$A$2:$A$399,$A10,Cifras!$E$2:$E$399,"Sí",Cifras!$F$2:$F$399,"Sí",Cifras!$D$2:$D$399,"partido")&gt;0,"Partido",IF(COUNTIFS(Cifras!$A$2:$A$399,$A10,Cifras!$E$2:$E$399,"Sí",Cifras!$F$2:$F$399,"Sí",Cifras!$D$2:$D$399,"departamento")&gt;0,"Departamento",IF(COUNTIFS(Cifras!$A$2:$A$399,$A10,Cifras!$E$2:$E$399,"Sí",Cifras!$F$2:$F$399,"Sí",Cifras!$D$2:$D$399,"provincia")&gt;0,"Provincia",IF(COUNTIFS(Cifras!$A$2:$A$399,$A10,Cifras!$E$2:$E$399,"Sí",Cifras!$F$2:$F$399,"Sí",Cifras!$D$2:$D$399,"region")&gt;0,"Región",IF(COUNTIFS(Cifras!$A$2:$A$399,$A10,Cifras!$E$2:$E$399,"Sí",Cifras!$F$2:$F$399,"Sí",Cifras!$D$2:$D$399,"pais")&gt;0,"País","—")))))))</f>
        <v>—</v>
      </c>
      <c r="R10" s="9" t="str">
        <f>IF(IFERROR(MATCH(TRUE,COUNTIFS(Catálogo!$J$2:$J$648,"*"&amp;$A10&amp;"*",Catálogo!$I$2:$I$648,"&lt;&gt;ausente",Catálogo!$M$2:$M$648,"completa",Catálogo!$L$2:$L$648,"*area*",Catálogo!$L$2:$L$648,"*sexo*",Catálogo!$Q$2:$Q$648,{1,2,3,4,5,6,7,8,9})&gt;0,0),0)&gt;0,INDEX(Niveles!$C$2:$C$10,IFERROR(MATCH(TRUE,COUNTIFS(Catálogo!$J$2:$J$648,"*"&amp;$A10&amp;"*",Catálogo!$I$2:$I$648,"&lt;&gt;ausente",Catálogo!$M$2:$M$648,"completa",Catálogo!$L$2:$L$648,"*area*",Catálogo!$L$2:$L$648,"*sexo*",Catálogo!$Q$2:$Q$648,{1,2,3,4,5,6,7,8,9})&gt;0,0),0))&amp;IF(AND(IFERROR(MATCH(TRUE,COUNTIFS(Catálogo!$J$2:$J$648,"*"&amp;$A10&amp;"*",Catálogo!$I$2:$I$648,"&lt;&gt;ausente",Catálogo!$M$2:$M$648,"parcial",Catálogo!$L$2:$L$648,"*area*",Catálogo!$L$2:$L$648,"*sexo*",Catálogo!$Q$2:$Q$648,{1,2,3,4,5,6,7,8,9})&gt;0,0),0)&gt;0,IFERROR(MATCH(TRUE,COUNTIFS(Catálogo!$J$2:$J$648,"*"&amp;$A10&amp;"*",Catálogo!$I$2:$I$648,"&lt;&gt;ausente",Catálogo!$M$2:$M$648,"parcial",Catálogo!$L$2:$L$648,"*area*",Catálogo!$L$2:$L$648,"*sexo*",Catálogo!$Q$2:$Q$648,{1,2,3,4,5,6,7,8,9})&gt;0,0),0)&lt;IFERROR(MATCH(TRUE,COUNTIFS(Catálogo!$J$2:$J$648,"*"&amp;$A10&amp;"*",Catálogo!$I$2:$I$648,"&lt;&gt;ausente",Catálogo!$M$2:$M$648,"completa",Catálogo!$L$2:$L$648,"*area*",Catálogo!$L$2:$L$648,"*sexo*",Catálogo!$Q$2:$Q$648,{1,2,3,4,5,6,7,8,9})&gt;0,0),0)),"; "&amp;LOWER(INDEX(Niveles!$C$2:$C$10,IFERROR(MATCH(TRUE,COUNTIFS(Catálogo!$J$2:$J$648,"*"&amp;$A10&amp;"*",Catálogo!$I$2:$I$648,"&lt;&gt;ausente",Catálogo!$M$2:$M$648,"parcial",Catálogo!$L$2:$L$648,"*area*",Catálogo!$L$2:$L$648,"*sexo*",Catálogo!$Q$2:$Q$648,{1,2,3,4,5,6,7,8,9})&gt;0,0),0)))&amp;" (parcial)",""),IF(IFERROR(MATCH(TRUE,COUNTIFS(Catálogo!$J$2:$J$648,"*"&amp;$A10&amp;"*",Catálogo!$I$2:$I$648,"&lt;&gt;ausente",Catálogo!$M$2:$M$648,"parcial",Catálogo!$L$2:$L$648,"*area*",Catálogo!$L$2:$L$648,"*sexo*",Catálogo!$Q$2:$Q$648,{1,2,3,4,5,6,7,8,9})&gt;0,0),0)&gt;0,INDEX(Niveles!$C$2:$C$10,IFERROR(MATCH(TRUE,COUNTIFS(Catálogo!$J$2:$J$648,"*"&amp;$A10&amp;"*",Catálogo!$I$2:$I$648,"&lt;&gt;ausente",Catálogo!$M$2:$M$648,"parcial",Catálogo!$L$2:$L$648,"*area*",Catálogo!$L$2:$L$648,"*sexo*",Catálogo!$Q$2:$Q$648,{1,2,3,4,5,6,7,8,9})&gt;0,0),0))&amp;" (parcial)","—"))</f>
        <v>—</v>
      </c>
      <c r="S10" s="8" t="str">
        <f>IF(COUNTIFS(Cifras!$A$2:$A$399,$A10,Cifras!$F$2:$F$399,"Sí",Cifras!$G$2:$G$399,"Sí",Cifras!$D$2:$D$399,"distrito")&gt;0,"Distrito",IF(COUNTIFS(Cifras!$A$2:$A$399,$A10,Cifras!$F$2:$F$399,"Sí",Cifras!$G$2:$G$399,"Sí",Cifras!$D$2:$D$399,"comuna")&gt;0,"Comuna",IF(COUNTIFS(Cifras!$A$2:$A$399,$A10,Cifras!$F$2:$F$399,"Sí",Cifras!$G$2:$G$399,"Sí",Cifras!$D$2:$D$399,"partido")&gt;0,"Partido",IF(COUNTIFS(Cifras!$A$2:$A$399,$A10,Cifras!$F$2:$F$399,"Sí",Cifras!$G$2:$G$399,"Sí",Cifras!$D$2:$D$399,"departamento")&gt;0,"Departamento",IF(COUNTIFS(Cifras!$A$2:$A$399,$A10,Cifras!$F$2:$F$399,"Sí",Cifras!$G$2:$G$399,"Sí",Cifras!$D$2:$D$399,"provincia")&gt;0,"Provincia",IF(COUNTIFS(Cifras!$A$2:$A$399,$A10,Cifras!$F$2:$F$399,"Sí",Cifras!$G$2:$G$399,"Sí",Cifras!$D$2:$D$399,"region")&gt;0,"Región",IF(COUNTIFS(Cifras!$A$2:$A$399,$A10,Cifras!$F$2:$F$399,"Sí",Cifras!$G$2:$G$399,"Sí",Cifras!$D$2:$D$399,"pais")&gt;0,"País","—")))))))</f>
        <v>Departamento</v>
      </c>
      <c r="T10" s="9" t="str">
        <f>IF(IFERROR(MATCH(TRUE,COUNTIFS(Catálogo!$J$2:$J$648,"*"&amp;$A10&amp;"*",Catálogo!$I$2:$I$648,"&lt;&gt;ausente",Catálogo!$M$2:$M$648,"completa",Catálogo!$L$2:$L$648,"*sexo*",Catálogo!$L$2:$L$648,"*edad*",Catálogo!$Q$2:$Q$648,{1,2,3,4,5,6,7,8,9})&gt;0,0),0)&gt;0,INDEX(Niveles!$C$2:$C$10,IFERROR(MATCH(TRUE,COUNTIFS(Catálogo!$J$2:$J$648,"*"&amp;$A10&amp;"*",Catálogo!$I$2:$I$648,"&lt;&gt;ausente",Catálogo!$M$2:$M$648,"completa",Catálogo!$L$2:$L$648,"*sexo*",Catálogo!$L$2:$L$648,"*edad*",Catálogo!$Q$2:$Q$648,{1,2,3,4,5,6,7,8,9})&gt;0,0),0))&amp;IF(AND(IFERROR(MATCH(TRUE,COUNTIFS(Catálogo!$J$2:$J$648,"*"&amp;$A10&amp;"*",Catálogo!$I$2:$I$648,"&lt;&gt;ausente",Catálogo!$M$2:$M$648,"parcial",Catálogo!$L$2:$L$648,"*sexo*",Catálogo!$L$2:$L$648,"*edad*",Catálogo!$Q$2:$Q$648,{1,2,3,4,5,6,7,8,9})&gt;0,0),0)&gt;0,IFERROR(MATCH(TRUE,COUNTIFS(Catálogo!$J$2:$J$648,"*"&amp;$A10&amp;"*",Catálogo!$I$2:$I$648,"&lt;&gt;ausente",Catálogo!$M$2:$M$648,"parcial",Catálogo!$L$2:$L$648,"*sexo*",Catálogo!$L$2:$L$648,"*edad*",Catálogo!$Q$2:$Q$648,{1,2,3,4,5,6,7,8,9})&gt;0,0),0)&lt;IFERROR(MATCH(TRUE,COUNTIFS(Catálogo!$J$2:$J$648,"*"&amp;$A10&amp;"*",Catálogo!$I$2:$I$648,"&lt;&gt;ausente",Catálogo!$M$2:$M$648,"completa",Catálogo!$L$2:$L$648,"*sexo*",Catálogo!$L$2:$L$648,"*edad*",Catálogo!$Q$2:$Q$648,{1,2,3,4,5,6,7,8,9})&gt;0,0),0)),"; "&amp;LOWER(INDEX(Niveles!$C$2:$C$10,IFERROR(MATCH(TRUE,COUNTIFS(Catálogo!$J$2:$J$648,"*"&amp;$A10&amp;"*",Catálogo!$I$2:$I$648,"&lt;&gt;ausente",Catálogo!$M$2:$M$648,"parcial",Catálogo!$L$2:$L$648,"*sexo*",Catálogo!$L$2:$L$648,"*edad*",Catálogo!$Q$2:$Q$648,{1,2,3,4,5,6,7,8,9})&gt;0,0),0)))&amp;" (parcial)",""),IF(IFERROR(MATCH(TRUE,COUNTIFS(Catálogo!$J$2:$J$648,"*"&amp;$A10&amp;"*",Catálogo!$I$2:$I$648,"&lt;&gt;ausente",Catálogo!$M$2:$M$648,"parcial",Catálogo!$L$2:$L$648,"*sexo*",Catálogo!$L$2:$L$648,"*edad*",Catálogo!$Q$2:$Q$648,{1,2,3,4,5,6,7,8,9})&gt;0,0),0)&gt;0,INDEX(Niveles!$C$2:$C$10,IFERROR(MATCH(TRUE,COUNTIFS(Catálogo!$J$2:$J$648,"*"&amp;$A10&amp;"*",Catálogo!$I$2:$I$648,"&lt;&gt;ausente",Catálogo!$M$2:$M$648,"parcial",Catálogo!$L$2:$L$648,"*sexo*",Catálogo!$L$2:$L$648,"*edad*",Catálogo!$Q$2:$Q$648,{1,2,3,4,5,6,7,8,9})&gt;0,0),0))&amp;" (parcial)","—"))</f>
        <v>Distrito</v>
      </c>
      <c r="U10" s="7">
        <f>SUMIFS(Cifras!$J$2:$J$399,Cifras!$A$2:$A$399,$A10)</f>
        <v>3</v>
      </c>
      <c r="V10" s="14" t="s">
        <v>44</v>
      </c>
      <c r="W10" s="11" t="s">
        <v>45</v>
      </c>
      <c r="X10" s="11" t="s">
        <v>46</v>
      </c>
    </row>
    <row r="11" spans="1:24" ht="76.5" x14ac:dyDescent="0.25">
      <c r="A11" s="5">
        <v>1885</v>
      </c>
      <c r="B11" s="6" t="s">
        <v>47</v>
      </c>
      <c r="C11" s="7">
        <v>905</v>
      </c>
      <c r="D11" s="7">
        <f>COUNTIFS(Catálogo!$B$2:$B$648,$A11)</f>
        <v>35</v>
      </c>
      <c r="E11" s="7">
        <f>COUNTIFS(Catálogo!$B$2:$B$648,$A11,Catálogo!$F$2:$F$648,"cuadro")</f>
        <v>11</v>
      </c>
      <c r="F11" s="7">
        <f>COUNTIFS(Catálogo!$B$2:$B$648,$A11,Catálogo!$F$2:$F$648,"bloque")</f>
        <v>23</v>
      </c>
      <c r="G11" s="7">
        <f>COUNTIFS(Catálogo!$B$2:$B$648,$A11,Catálogo!$F$2:$F$648,"texto")</f>
        <v>1</v>
      </c>
      <c r="H11" s="7">
        <f>COUNTIFS(Catálogo!$B$2:$B$648,$A11,Catálogo!$I$2:$I$648,"verificada")</f>
        <v>3</v>
      </c>
      <c r="I11" s="7">
        <f>COUNTIFS(Catálogo!$B$2:$B$648,$A11,Catálogo!$I$2:$I$648,"estimada")</f>
        <v>31</v>
      </c>
      <c r="J11" s="7">
        <f>COUNTIFS(Catálogo!$B$2:$B$648,$A11,Catálogo!$I$2:$I$648,"desconocida")+COUNTIFS(Catálogo!$B$2:$B$648,$A11,Catálogo!$I$2:$I$648,"ausente")</f>
        <v>1</v>
      </c>
      <c r="K11" s="7">
        <f>COUNTIFS(Catálogo!$B$2:$B$648,$A11,Catálogo!$O$2:$O$648,"transcrito")</f>
        <v>2</v>
      </c>
      <c r="L11" s="7">
        <f>SUMIFS(Cifras!$H$2:$H$399,Cifras!$A$2:$A$399,$A11)</f>
        <v>5640</v>
      </c>
      <c r="M11" s="8" t="str">
        <f>IF(COUNTIFS(Cifras!$A$2:$A$399,$A11,Cifras!$D$2:$D$399,"distrito")&gt;0,"Distrito",IF(COUNTIFS(Cifras!$A$2:$A$399,$A11,Cifras!$D$2:$D$399,"comuna")&gt;0,"Comuna",IF(COUNTIFS(Cifras!$A$2:$A$399,$A11,Cifras!$D$2:$D$399,"partido")&gt;0,"Partido",IF(COUNTIFS(Cifras!$A$2:$A$399,$A11,Cifras!$D$2:$D$399,"departamento")&gt;0,"Departamento",IF(COUNTIFS(Cifras!$A$2:$A$399,$A11,Cifras!$D$2:$D$399,"provincia")&gt;0,"Provincia",IF(COUNTIFS(Cifras!$A$2:$A$399,$A11,Cifras!$D$2:$D$399,"region")&gt;0,"Región",IF(COUNTIFS(Cifras!$A$2:$A$399,$A11,Cifras!$D$2:$D$399,"pais")&gt;0,"País","—")))))))</f>
        <v>Departamento</v>
      </c>
      <c r="N11" s="9" t="str">
        <f>IF(IFERROR(MATCH(TRUE,COUNTIFS(Catálogo!$J$2:$J$648,"*"&amp;$A11&amp;"*",Catálogo!$I$2:$I$648,"&lt;&gt;ausente",Catálogo!$M$2:$M$648,"completa",Catálogo!$Q$2:$Q$648,{1,2,3,4,5,6,7,8,9})&gt;0,0),0)&gt;0,INDEX(Niveles!$C$2:$C$10,IFERROR(MATCH(TRUE,COUNTIFS(Catálogo!$J$2:$J$648,"*"&amp;$A11&amp;"*",Catálogo!$I$2:$I$648,"&lt;&gt;ausente",Catálogo!$M$2:$M$648,"completa",Catálogo!$Q$2:$Q$648,{1,2,3,4,5,6,7,8,9})&gt;0,0),0))&amp;IF(AND(IFERROR(MATCH(TRUE,COUNTIFS(Catálogo!$J$2:$J$648,"*"&amp;$A11&amp;"*",Catálogo!$I$2:$I$648,"&lt;&gt;ausente",Catálogo!$M$2:$M$648,"parcial",Catálogo!$Q$2:$Q$648,{1,2,3,4,5,6,7,8,9})&gt;0,0),0)&gt;0,IFERROR(MATCH(TRUE,COUNTIFS(Catálogo!$J$2:$J$648,"*"&amp;$A11&amp;"*",Catálogo!$I$2:$I$648,"&lt;&gt;ausente",Catálogo!$M$2:$M$648,"parcial",Catálogo!$Q$2:$Q$648,{1,2,3,4,5,6,7,8,9})&gt;0,0),0)&lt;IFERROR(MATCH(TRUE,COUNTIFS(Catálogo!$J$2:$J$648,"*"&amp;$A11&amp;"*",Catálogo!$I$2:$I$648,"&lt;&gt;ausente",Catálogo!$M$2:$M$648,"completa",Catálogo!$Q$2:$Q$648,{1,2,3,4,5,6,7,8,9})&gt;0,0),0)),"; "&amp;LOWER(INDEX(Niveles!$C$2:$C$10,IFERROR(MATCH(TRUE,COUNTIFS(Catálogo!$J$2:$J$648,"*"&amp;$A11&amp;"*",Catálogo!$I$2:$I$648,"&lt;&gt;ausente",Catálogo!$M$2:$M$648,"parcial",Catálogo!$Q$2:$Q$648,{1,2,3,4,5,6,7,8,9})&gt;0,0),0)))&amp;" (parcial)",""),IF(IFERROR(MATCH(TRUE,COUNTIFS(Catálogo!$J$2:$J$648,"*"&amp;$A11&amp;"*",Catálogo!$I$2:$I$648,"&lt;&gt;ausente",Catálogo!$M$2:$M$648,"parcial",Catálogo!$Q$2:$Q$648,{1,2,3,4,5,6,7,8,9})&gt;0,0),0)&gt;0,INDEX(Niveles!$C$2:$C$10,IFERROR(MATCH(TRUE,COUNTIFS(Catálogo!$J$2:$J$648,"*"&amp;$A11&amp;"*",Catálogo!$I$2:$I$648,"&lt;&gt;ausente",Catálogo!$M$2:$M$648,"parcial",Catálogo!$Q$2:$Q$648,{1,2,3,4,5,6,7,8,9})&gt;0,0),0))&amp;" (parcial)","—"))</f>
        <v>Distrito</v>
      </c>
      <c r="O11" s="8" t="str">
        <f>IF(COUNTIFS(Cifras!$A$2:$A$399,$A11,Cifras!$E$2:$E$399,"Sí",Cifras!$D$2:$D$399,"distrito")&gt;0,"Distrito",IF(COUNTIFS(Cifras!$A$2:$A$399,$A11,Cifras!$E$2:$E$399,"Sí",Cifras!$D$2:$D$399,"comuna")&gt;0,"Comuna",IF(COUNTIFS(Cifras!$A$2:$A$399,$A11,Cifras!$E$2:$E$399,"Sí",Cifras!$D$2:$D$399,"partido")&gt;0,"Partido",IF(COUNTIFS(Cifras!$A$2:$A$399,$A11,Cifras!$E$2:$E$399,"Sí",Cifras!$D$2:$D$399,"departamento")&gt;0,"Departamento",IF(COUNTIFS(Cifras!$A$2:$A$399,$A11,Cifras!$E$2:$E$399,"Sí",Cifras!$D$2:$D$399,"provincia")&gt;0,"Provincia",IF(COUNTIFS(Cifras!$A$2:$A$399,$A11,Cifras!$E$2:$E$399,"Sí",Cifras!$D$2:$D$399,"region")&gt;0,"Región",IF(COUNTIFS(Cifras!$A$2:$A$399,$A11,Cifras!$E$2:$E$399,"Sí",Cifras!$D$2:$D$399,"pais")&gt;0,"País","—")))))))</f>
        <v>Departamento</v>
      </c>
      <c r="P11" s="9" t="str">
        <f>IF(IFERROR(MATCH(TRUE,COUNTIFS(Catálogo!$J$2:$J$648,"*"&amp;$A11&amp;"*",Catálogo!$I$2:$I$648,"&lt;&gt;ausente",Catálogo!$M$2:$M$648,"completa",Catálogo!$L$2:$L$648,"*area*",Catálogo!$Q$2:$Q$648,{1,2,3,4,5,6,7,8,9})&gt;0,0),0)&gt;0,INDEX(Niveles!$C$2:$C$10,IFERROR(MATCH(TRUE,COUNTIFS(Catálogo!$J$2:$J$648,"*"&amp;$A11&amp;"*",Catálogo!$I$2:$I$648,"&lt;&gt;ausente",Catálogo!$M$2:$M$648,"completa",Catálogo!$L$2:$L$648,"*area*",Catálogo!$Q$2:$Q$648,{1,2,3,4,5,6,7,8,9})&gt;0,0),0))&amp;IF(AND(IFERROR(MATCH(TRUE,COUNTIFS(Catálogo!$J$2:$J$648,"*"&amp;$A11&amp;"*",Catálogo!$I$2:$I$648,"&lt;&gt;ausente",Catálogo!$M$2:$M$648,"parcial",Catálogo!$L$2:$L$648,"*area*",Catálogo!$Q$2:$Q$648,{1,2,3,4,5,6,7,8,9})&gt;0,0),0)&gt;0,IFERROR(MATCH(TRUE,COUNTIFS(Catálogo!$J$2:$J$648,"*"&amp;$A11&amp;"*",Catálogo!$I$2:$I$648,"&lt;&gt;ausente",Catálogo!$M$2:$M$648,"parcial",Catálogo!$L$2:$L$648,"*area*",Catálogo!$Q$2:$Q$648,{1,2,3,4,5,6,7,8,9})&gt;0,0),0)&lt;IFERROR(MATCH(TRUE,COUNTIFS(Catálogo!$J$2:$J$648,"*"&amp;$A11&amp;"*",Catálogo!$I$2:$I$648,"&lt;&gt;ausente",Catálogo!$M$2:$M$648,"completa",Catálogo!$L$2:$L$648,"*area*",Catálogo!$Q$2:$Q$648,{1,2,3,4,5,6,7,8,9})&gt;0,0),0)),"; "&amp;LOWER(INDEX(Niveles!$C$2:$C$10,IFERROR(MATCH(TRUE,COUNTIFS(Catálogo!$J$2:$J$648,"*"&amp;$A11&amp;"*",Catálogo!$I$2:$I$648,"&lt;&gt;ausente",Catálogo!$M$2:$M$648,"parcial",Catálogo!$L$2:$L$648,"*area*",Catálogo!$Q$2:$Q$648,{1,2,3,4,5,6,7,8,9})&gt;0,0),0)))&amp;" (parcial)",""),IF(IFERROR(MATCH(TRUE,COUNTIFS(Catálogo!$J$2:$J$648,"*"&amp;$A11&amp;"*",Catálogo!$I$2:$I$648,"&lt;&gt;ausente",Catálogo!$M$2:$M$648,"parcial",Catálogo!$L$2:$L$648,"*area*",Catálogo!$Q$2:$Q$648,{1,2,3,4,5,6,7,8,9})&gt;0,0),0)&gt;0,INDEX(Niveles!$C$2:$C$10,IFERROR(MATCH(TRUE,COUNTIFS(Catálogo!$J$2:$J$648,"*"&amp;$A11&amp;"*",Catálogo!$I$2:$I$648,"&lt;&gt;ausente",Catálogo!$M$2:$M$648,"parcial",Catálogo!$L$2:$L$648,"*area*",Catálogo!$Q$2:$Q$648,{1,2,3,4,5,6,7,8,9})&gt;0,0),0))&amp;" (parcial)","—"))</f>
        <v>Departamento</v>
      </c>
      <c r="Q11" s="8" t="str">
        <f>IF(COUNTIFS(Cifras!$A$2:$A$399,$A11,Cifras!$E$2:$E$399,"Sí",Cifras!$F$2:$F$399,"Sí",Cifras!$D$2:$D$399,"distrito")&gt;0,"Distrito",IF(COUNTIFS(Cifras!$A$2:$A$399,$A11,Cifras!$E$2:$E$399,"Sí",Cifras!$F$2:$F$399,"Sí",Cifras!$D$2:$D$399,"comuna")&gt;0,"Comuna",IF(COUNTIFS(Cifras!$A$2:$A$399,$A11,Cifras!$E$2:$E$399,"Sí",Cifras!$F$2:$F$399,"Sí",Cifras!$D$2:$D$399,"partido")&gt;0,"Partido",IF(COUNTIFS(Cifras!$A$2:$A$399,$A11,Cifras!$E$2:$E$399,"Sí",Cifras!$F$2:$F$399,"Sí",Cifras!$D$2:$D$399,"departamento")&gt;0,"Departamento",IF(COUNTIFS(Cifras!$A$2:$A$399,$A11,Cifras!$E$2:$E$399,"Sí",Cifras!$F$2:$F$399,"Sí",Cifras!$D$2:$D$399,"provincia")&gt;0,"Provincia",IF(COUNTIFS(Cifras!$A$2:$A$399,$A11,Cifras!$E$2:$E$399,"Sí",Cifras!$F$2:$F$399,"Sí",Cifras!$D$2:$D$399,"region")&gt;0,"Región",IF(COUNTIFS(Cifras!$A$2:$A$399,$A11,Cifras!$E$2:$E$399,"Sí",Cifras!$F$2:$F$399,"Sí",Cifras!$D$2:$D$399,"pais")&gt;0,"País","—")))))))</f>
        <v>—</v>
      </c>
      <c r="R11" s="9" t="str">
        <f>IF(IFERROR(MATCH(TRUE,COUNTIFS(Catálogo!$J$2:$J$648,"*"&amp;$A11&amp;"*",Catálogo!$I$2:$I$648,"&lt;&gt;ausente",Catálogo!$M$2:$M$648,"completa",Catálogo!$L$2:$L$648,"*area*",Catálogo!$L$2:$L$648,"*sexo*",Catálogo!$Q$2:$Q$648,{1,2,3,4,5,6,7,8,9})&gt;0,0),0)&gt;0,INDEX(Niveles!$C$2:$C$10,IFERROR(MATCH(TRUE,COUNTIFS(Catálogo!$J$2:$J$648,"*"&amp;$A11&amp;"*",Catálogo!$I$2:$I$648,"&lt;&gt;ausente",Catálogo!$M$2:$M$648,"completa",Catálogo!$L$2:$L$648,"*area*",Catálogo!$L$2:$L$648,"*sexo*",Catálogo!$Q$2:$Q$648,{1,2,3,4,5,6,7,8,9})&gt;0,0),0))&amp;IF(AND(IFERROR(MATCH(TRUE,COUNTIFS(Catálogo!$J$2:$J$648,"*"&amp;$A11&amp;"*",Catálogo!$I$2:$I$648,"&lt;&gt;ausente",Catálogo!$M$2:$M$648,"parcial",Catálogo!$L$2:$L$648,"*area*",Catálogo!$L$2:$L$648,"*sexo*",Catálogo!$Q$2:$Q$648,{1,2,3,4,5,6,7,8,9})&gt;0,0),0)&gt;0,IFERROR(MATCH(TRUE,COUNTIFS(Catálogo!$J$2:$J$648,"*"&amp;$A11&amp;"*",Catálogo!$I$2:$I$648,"&lt;&gt;ausente",Catálogo!$M$2:$M$648,"parcial",Catálogo!$L$2:$L$648,"*area*",Catálogo!$L$2:$L$648,"*sexo*",Catálogo!$Q$2:$Q$648,{1,2,3,4,5,6,7,8,9})&gt;0,0),0)&lt;IFERROR(MATCH(TRUE,COUNTIFS(Catálogo!$J$2:$J$648,"*"&amp;$A11&amp;"*",Catálogo!$I$2:$I$648,"&lt;&gt;ausente",Catálogo!$M$2:$M$648,"completa",Catálogo!$L$2:$L$648,"*area*",Catálogo!$L$2:$L$648,"*sexo*",Catálogo!$Q$2:$Q$648,{1,2,3,4,5,6,7,8,9})&gt;0,0),0)),"; "&amp;LOWER(INDEX(Niveles!$C$2:$C$10,IFERROR(MATCH(TRUE,COUNTIFS(Catálogo!$J$2:$J$648,"*"&amp;$A11&amp;"*",Catálogo!$I$2:$I$648,"&lt;&gt;ausente",Catálogo!$M$2:$M$648,"parcial",Catálogo!$L$2:$L$648,"*area*",Catálogo!$L$2:$L$648,"*sexo*",Catálogo!$Q$2:$Q$648,{1,2,3,4,5,6,7,8,9})&gt;0,0),0)))&amp;" (parcial)",""),IF(IFERROR(MATCH(TRUE,COUNTIFS(Catálogo!$J$2:$J$648,"*"&amp;$A11&amp;"*",Catálogo!$I$2:$I$648,"&lt;&gt;ausente",Catálogo!$M$2:$M$648,"parcial",Catálogo!$L$2:$L$648,"*area*",Catálogo!$L$2:$L$648,"*sexo*",Catálogo!$Q$2:$Q$648,{1,2,3,4,5,6,7,8,9})&gt;0,0),0)&gt;0,INDEX(Niveles!$C$2:$C$10,IFERROR(MATCH(TRUE,COUNTIFS(Catálogo!$J$2:$J$648,"*"&amp;$A11&amp;"*",Catálogo!$I$2:$I$648,"&lt;&gt;ausente",Catálogo!$M$2:$M$648,"parcial",Catálogo!$L$2:$L$648,"*area*",Catálogo!$L$2:$L$648,"*sexo*",Catálogo!$Q$2:$Q$648,{1,2,3,4,5,6,7,8,9})&gt;0,0),0))&amp;" (parcial)","—"))</f>
        <v>—</v>
      </c>
      <c r="S11" s="8" t="str">
        <f>IF(COUNTIFS(Cifras!$A$2:$A$399,$A11,Cifras!$F$2:$F$399,"Sí",Cifras!$G$2:$G$399,"Sí",Cifras!$D$2:$D$399,"distrito")&gt;0,"Distrito",IF(COUNTIFS(Cifras!$A$2:$A$399,$A11,Cifras!$F$2:$F$399,"Sí",Cifras!$G$2:$G$399,"Sí",Cifras!$D$2:$D$399,"comuna")&gt;0,"Comuna",IF(COUNTIFS(Cifras!$A$2:$A$399,$A11,Cifras!$F$2:$F$399,"Sí",Cifras!$G$2:$G$399,"Sí",Cifras!$D$2:$D$399,"partido")&gt;0,"Partido",IF(COUNTIFS(Cifras!$A$2:$A$399,$A11,Cifras!$F$2:$F$399,"Sí",Cifras!$G$2:$G$399,"Sí",Cifras!$D$2:$D$399,"departamento")&gt;0,"Departamento",IF(COUNTIFS(Cifras!$A$2:$A$399,$A11,Cifras!$F$2:$F$399,"Sí",Cifras!$G$2:$G$399,"Sí",Cifras!$D$2:$D$399,"provincia")&gt;0,"Provincia",IF(COUNTIFS(Cifras!$A$2:$A$399,$A11,Cifras!$F$2:$F$399,"Sí",Cifras!$G$2:$G$399,"Sí",Cifras!$D$2:$D$399,"region")&gt;0,"Región",IF(COUNTIFS(Cifras!$A$2:$A$399,$A11,Cifras!$F$2:$F$399,"Sí",Cifras!$G$2:$G$399,"Sí",Cifras!$D$2:$D$399,"pais")&gt;0,"País","—")))))))</f>
        <v>Departamento</v>
      </c>
      <c r="T11" s="9" t="str">
        <f>IF(IFERROR(MATCH(TRUE,COUNTIFS(Catálogo!$J$2:$J$648,"*"&amp;$A11&amp;"*",Catálogo!$I$2:$I$648,"&lt;&gt;ausente",Catálogo!$M$2:$M$648,"completa",Catálogo!$L$2:$L$648,"*sexo*",Catálogo!$L$2:$L$648,"*edad*",Catálogo!$Q$2:$Q$648,{1,2,3,4,5,6,7,8,9})&gt;0,0),0)&gt;0,INDEX(Niveles!$C$2:$C$10,IFERROR(MATCH(TRUE,COUNTIFS(Catálogo!$J$2:$J$648,"*"&amp;$A11&amp;"*",Catálogo!$I$2:$I$648,"&lt;&gt;ausente",Catálogo!$M$2:$M$648,"completa",Catálogo!$L$2:$L$648,"*sexo*",Catálogo!$L$2:$L$648,"*edad*",Catálogo!$Q$2:$Q$648,{1,2,3,4,5,6,7,8,9})&gt;0,0),0))&amp;IF(AND(IFERROR(MATCH(TRUE,COUNTIFS(Catálogo!$J$2:$J$648,"*"&amp;$A11&amp;"*",Catálogo!$I$2:$I$648,"&lt;&gt;ausente",Catálogo!$M$2:$M$648,"parcial",Catálogo!$L$2:$L$648,"*sexo*",Catálogo!$L$2:$L$648,"*edad*",Catálogo!$Q$2:$Q$648,{1,2,3,4,5,6,7,8,9})&gt;0,0),0)&gt;0,IFERROR(MATCH(TRUE,COUNTIFS(Catálogo!$J$2:$J$648,"*"&amp;$A11&amp;"*",Catálogo!$I$2:$I$648,"&lt;&gt;ausente",Catálogo!$M$2:$M$648,"parcial",Catálogo!$L$2:$L$648,"*sexo*",Catálogo!$L$2:$L$648,"*edad*",Catálogo!$Q$2:$Q$648,{1,2,3,4,5,6,7,8,9})&gt;0,0),0)&lt;IFERROR(MATCH(TRUE,COUNTIFS(Catálogo!$J$2:$J$648,"*"&amp;$A11&amp;"*",Catálogo!$I$2:$I$648,"&lt;&gt;ausente",Catálogo!$M$2:$M$648,"completa",Catálogo!$L$2:$L$648,"*sexo*",Catálogo!$L$2:$L$648,"*edad*",Catálogo!$Q$2:$Q$648,{1,2,3,4,5,6,7,8,9})&gt;0,0),0)),"; "&amp;LOWER(INDEX(Niveles!$C$2:$C$10,IFERROR(MATCH(TRUE,COUNTIFS(Catálogo!$J$2:$J$648,"*"&amp;$A11&amp;"*",Catálogo!$I$2:$I$648,"&lt;&gt;ausente",Catálogo!$M$2:$M$648,"parcial",Catálogo!$L$2:$L$648,"*sexo*",Catálogo!$L$2:$L$648,"*edad*",Catálogo!$Q$2:$Q$648,{1,2,3,4,5,6,7,8,9})&gt;0,0),0)))&amp;" (parcial)",""),IF(IFERROR(MATCH(TRUE,COUNTIFS(Catálogo!$J$2:$J$648,"*"&amp;$A11&amp;"*",Catálogo!$I$2:$I$648,"&lt;&gt;ausente",Catálogo!$M$2:$M$648,"parcial",Catálogo!$L$2:$L$648,"*sexo*",Catálogo!$L$2:$L$648,"*edad*",Catálogo!$Q$2:$Q$648,{1,2,3,4,5,6,7,8,9})&gt;0,0),0)&gt;0,INDEX(Niveles!$C$2:$C$10,IFERROR(MATCH(TRUE,COUNTIFS(Catálogo!$J$2:$J$648,"*"&amp;$A11&amp;"*",Catálogo!$I$2:$I$648,"&lt;&gt;ausente",Catálogo!$M$2:$M$648,"parcial",Catálogo!$L$2:$L$648,"*sexo*",Catálogo!$L$2:$L$648,"*edad*",Catálogo!$Q$2:$Q$648,{1,2,3,4,5,6,7,8,9})&gt;0,0),0))&amp;" (parcial)","—"))</f>
        <v>Distrito</v>
      </c>
      <c r="U11" s="7">
        <f>SUMIFS(Cifras!$J$2:$J$399,Cifras!$A$2:$A$399,$A11)</f>
        <v>15</v>
      </c>
      <c r="V11" s="14" t="s">
        <v>44</v>
      </c>
      <c r="W11" s="11" t="s">
        <v>48</v>
      </c>
      <c r="X11" s="11" t="s">
        <v>49</v>
      </c>
    </row>
    <row r="12" spans="1:24" ht="76.5" x14ac:dyDescent="0.25">
      <c r="A12" s="5">
        <v>1895</v>
      </c>
      <c r="B12" s="6" t="s">
        <v>50</v>
      </c>
      <c r="C12" s="7">
        <v>2547</v>
      </c>
      <c r="D12" s="7">
        <f>COUNTIFS(Catálogo!$B$2:$B$648,$A12)</f>
        <v>40</v>
      </c>
      <c r="E12" s="7">
        <f>COUNTIFS(Catálogo!$B$2:$B$648,$A12,Catálogo!$F$2:$F$648,"cuadro")</f>
        <v>12</v>
      </c>
      <c r="F12" s="7">
        <f>COUNTIFS(Catálogo!$B$2:$B$648,$A12,Catálogo!$F$2:$F$648,"bloque")</f>
        <v>23</v>
      </c>
      <c r="G12" s="7">
        <f>COUNTIFS(Catálogo!$B$2:$B$648,$A12,Catálogo!$F$2:$F$648,"texto")</f>
        <v>5</v>
      </c>
      <c r="H12" s="7">
        <f>COUNTIFS(Catálogo!$B$2:$B$648,$A12,Catálogo!$I$2:$I$648,"verificada")</f>
        <v>4</v>
      </c>
      <c r="I12" s="7">
        <f>COUNTIFS(Catálogo!$B$2:$B$648,$A12,Catálogo!$I$2:$I$648,"estimada")</f>
        <v>32</v>
      </c>
      <c r="J12" s="7">
        <f>COUNTIFS(Catálogo!$B$2:$B$648,$A12,Catálogo!$I$2:$I$648,"desconocida")+COUNTIFS(Catálogo!$B$2:$B$648,$A12,Catálogo!$I$2:$I$648,"ausente")</f>
        <v>4</v>
      </c>
      <c r="K12" s="7">
        <f>COUNTIFS(Catálogo!$B$2:$B$648,$A12,Catálogo!$O$2:$O$648,"transcrito")</f>
        <v>2</v>
      </c>
      <c r="L12" s="7">
        <f>SUMIFS(Cifras!$H$2:$H$399,Cifras!$A$2:$A$399,$A12)</f>
        <v>6109</v>
      </c>
      <c r="M12" s="8" t="str">
        <f>IF(COUNTIFS(Cifras!$A$2:$A$399,$A12,Cifras!$D$2:$D$399,"distrito")&gt;0,"Distrito",IF(COUNTIFS(Cifras!$A$2:$A$399,$A12,Cifras!$D$2:$D$399,"comuna")&gt;0,"Comuna",IF(COUNTIFS(Cifras!$A$2:$A$399,$A12,Cifras!$D$2:$D$399,"partido")&gt;0,"Partido",IF(COUNTIFS(Cifras!$A$2:$A$399,$A12,Cifras!$D$2:$D$399,"departamento")&gt;0,"Departamento",IF(COUNTIFS(Cifras!$A$2:$A$399,$A12,Cifras!$D$2:$D$399,"provincia")&gt;0,"Provincia",IF(COUNTIFS(Cifras!$A$2:$A$399,$A12,Cifras!$D$2:$D$399,"region")&gt;0,"Región",IF(COUNTIFS(Cifras!$A$2:$A$399,$A12,Cifras!$D$2:$D$399,"pais")&gt;0,"País","—")))))))</f>
        <v>Departamento</v>
      </c>
      <c r="N12" s="9" t="str">
        <f>IF(IFERROR(MATCH(TRUE,COUNTIFS(Catálogo!$J$2:$J$648,"*"&amp;$A12&amp;"*",Catálogo!$I$2:$I$648,"&lt;&gt;ausente",Catálogo!$M$2:$M$648,"completa",Catálogo!$Q$2:$Q$648,{1,2,3,4,5,6,7,8,9})&gt;0,0),0)&gt;0,INDEX(Niveles!$C$2:$C$10,IFERROR(MATCH(TRUE,COUNTIFS(Catálogo!$J$2:$J$648,"*"&amp;$A12&amp;"*",Catálogo!$I$2:$I$648,"&lt;&gt;ausente",Catálogo!$M$2:$M$648,"completa",Catálogo!$Q$2:$Q$648,{1,2,3,4,5,6,7,8,9})&gt;0,0),0))&amp;IF(AND(IFERROR(MATCH(TRUE,COUNTIFS(Catálogo!$J$2:$J$648,"*"&amp;$A12&amp;"*",Catálogo!$I$2:$I$648,"&lt;&gt;ausente",Catálogo!$M$2:$M$648,"parcial",Catálogo!$Q$2:$Q$648,{1,2,3,4,5,6,7,8,9})&gt;0,0),0)&gt;0,IFERROR(MATCH(TRUE,COUNTIFS(Catálogo!$J$2:$J$648,"*"&amp;$A12&amp;"*",Catálogo!$I$2:$I$648,"&lt;&gt;ausente",Catálogo!$M$2:$M$648,"parcial",Catálogo!$Q$2:$Q$648,{1,2,3,4,5,6,7,8,9})&gt;0,0),0)&lt;IFERROR(MATCH(TRUE,COUNTIFS(Catálogo!$J$2:$J$648,"*"&amp;$A12&amp;"*",Catálogo!$I$2:$I$648,"&lt;&gt;ausente",Catálogo!$M$2:$M$648,"completa",Catálogo!$Q$2:$Q$648,{1,2,3,4,5,6,7,8,9})&gt;0,0),0)),"; "&amp;LOWER(INDEX(Niveles!$C$2:$C$10,IFERROR(MATCH(TRUE,COUNTIFS(Catálogo!$J$2:$J$648,"*"&amp;$A12&amp;"*",Catálogo!$I$2:$I$648,"&lt;&gt;ausente",Catálogo!$M$2:$M$648,"parcial",Catálogo!$Q$2:$Q$648,{1,2,3,4,5,6,7,8,9})&gt;0,0),0)))&amp;" (parcial)",""),IF(IFERROR(MATCH(TRUE,COUNTIFS(Catálogo!$J$2:$J$648,"*"&amp;$A12&amp;"*",Catálogo!$I$2:$I$648,"&lt;&gt;ausente",Catálogo!$M$2:$M$648,"parcial",Catálogo!$Q$2:$Q$648,{1,2,3,4,5,6,7,8,9})&gt;0,0),0)&gt;0,INDEX(Niveles!$C$2:$C$10,IFERROR(MATCH(TRUE,COUNTIFS(Catálogo!$J$2:$J$648,"*"&amp;$A12&amp;"*",Catálogo!$I$2:$I$648,"&lt;&gt;ausente",Catálogo!$M$2:$M$648,"parcial",Catálogo!$Q$2:$Q$648,{1,2,3,4,5,6,7,8,9})&gt;0,0),0))&amp;" (parcial)","—"))</f>
        <v>Distrito</v>
      </c>
      <c r="O12" s="8" t="str">
        <f>IF(COUNTIFS(Cifras!$A$2:$A$399,$A12,Cifras!$E$2:$E$399,"Sí",Cifras!$D$2:$D$399,"distrito")&gt;0,"Distrito",IF(COUNTIFS(Cifras!$A$2:$A$399,$A12,Cifras!$E$2:$E$399,"Sí",Cifras!$D$2:$D$399,"comuna")&gt;0,"Comuna",IF(COUNTIFS(Cifras!$A$2:$A$399,$A12,Cifras!$E$2:$E$399,"Sí",Cifras!$D$2:$D$399,"partido")&gt;0,"Partido",IF(COUNTIFS(Cifras!$A$2:$A$399,$A12,Cifras!$E$2:$E$399,"Sí",Cifras!$D$2:$D$399,"departamento")&gt;0,"Departamento",IF(COUNTIFS(Cifras!$A$2:$A$399,$A12,Cifras!$E$2:$E$399,"Sí",Cifras!$D$2:$D$399,"provincia")&gt;0,"Provincia",IF(COUNTIFS(Cifras!$A$2:$A$399,$A12,Cifras!$E$2:$E$399,"Sí",Cifras!$D$2:$D$399,"region")&gt;0,"Región",IF(COUNTIFS(Cifras!$A$2:$A$399,$A12,Cifras!$E$2:$E$399,"Sí",Cifras!$D$2:$D$399,"pais")&gt;0,"País","—")))))))</f>
        <v>Departamento</v>
      </c>
      <c r="P12" s="9" t="str">
        <f>IF(IFERROR(MATCH(TRUE,COUNTIFS(Catálogo!$J$2:$J$648,"*"&amp;$A12&amp;"*",Catálogo!$I$2:$I$648,"&lt;&gt;ausente",Catálogo!$M$2:$M$648,"completa",Catálogo!$L$2:$L$648,"*area*",Catálogo!$Q$2:$Q$648,{1,2,3,4,5,6,7,8,9})&gt;0,0),0)&gt;0,INDEX(Niveles!$C$2:$C$10,IFERROR(MATCH(TRUE,COUNTIFS(Catálogo!$J$2:$J$648,"*"&amp;$A12&amp;"*",Catálogo!$I$2:$I$648,"&lt;&gt;ausente",Catálogo!$M$2:$M$648,"completa",Catálogo!$L$2:$L$648,"*area*",Catálogo!$Q$2:$Q$648,{1,2,3,4,5,6,7,8,9})&gt;0,0),0))&amp;IF(AND(IFERROR(MATCH(TRUE,COUNTIFS(Catálogo!$J$2:$J$648,"*"&amp;$A12&amp;"*",Catálogo!$I$2:$I$648,"&lt;&gt;ausente",Catálogo!$M$2:$M$648,"parcial",Catálogo!$L$2:$L$648,"*area*",Catálogo!$Q$2:$Q$648,{1,2,3,4,5,6,7,8,9})&gt;0,0),0)&gt;0,IFERROR(MATCH(TRUE,COUNTIFS(Catálogo!$J$2:$J$648,"*"&amp;$A12&amp;"*",Catálogo!$I$2:$I$648,"&lt;&gt;ausente",Catálogo!$M$2:$M$648,"parcial",Catálogo!$L$2:$L$648,"*area*",Catálogo!$Q$2:$Q$648,{1,2,3,4,5,6,7,8,9})&gt;0,0),0)&lt;IFERROR(MATCH(TRUE,COUNTIFS(Catálogo!$J$2:$J$648,"*"&amp;$A12&amp;"*",Catálogo!$I$2:$I$648,"&lt;&gt;ausente",Catálogo!$M$2:$M$648,"completa",Catálogo!$L$2:$L$648,"*area*",Catálogo!$Q$2:$Q$648,{1,2,3,4,5,6,7,8,9})&gt;0,0),0)),"; "&amp;LOWER(INDEX(Niveles!$C$2:$C$10,IFERROR(MATCH(TRUE,COUNTIFS(Catálogo!$J$2:$J$648,"*"&amp;$A12&amp;"*",Catálogo!$I$2:$I$648,"&lt;&gt;ausente",Catálogo!$M$2:$M$648,"parcial",Catálogo!$L$2:$L$648,"*area*",Catálogo!$Q$2:$Q$648,{1,2,3,4,5,6,7,8,9})&gt;0,0),0)))&amp;" (parcial)",""),IF(IFERROR(MATCH(TRUE,COUNTIFS(Catálogo!$J$2:$J$648,"*"&amp;$A12&amp;"*",Catálogo!$I$2:$I$648,"&lt;&gt;ausente",Catálogo!$M$2:$M$648,"parcial",Catálogo!$L$2:$L$648,"*area*",Catálogo!$Q$2:$Q$648,{1,2,3,4,5,6,7,8,9})&gt;0,0),0)&gt;0,INDEX(Niveles!$C$2:$C$10,IFERROR(MATCH(TRUE,COUNTIFS(Catálogo!$J$2:$J$648,"*"&amp;$A12&amp;"*",Catálogo!$I$2:$I$648,"&lt;&gt;ausente",Catálogo!$M$2:$M$648,"parcial",Catálogo!$L$2:$L$648,"*area*",Catálogo!$Q$2:$Q$648,{1,2,3,4,5,6,7,8,9})&gt;0,0),0))&amp;" (parcial)","—"))</f>
        <v>Departamento</v>
      </c>
      <c r="Q12" s="8" t="str">
        <f>IF(COUNTIFS(Cifras!$A$2:$A$399,$A12,Cifras!$E$2:$E$399,"Sí",Cifras!$F$2:$F$399,"Sí",Cifras!$D$2:$D$399,"distrito")&gt;0,"Distrito",IF(COUNTIFS(Cifras!$A$2:$A$399,$A12,Cifras!$E$2:$E$399,"Sí",Cifras!$F$2:$F$399,"Sí",Cifras!$D$2:$D$399,"comuna")&gt;0,"Comuna",IF(COUNTIFS(Cifras!$A$2:$A$399,$A12,Cifras!$E$2:$E$399,"Sí",Cifras!$F$2:$F$399,"Sí",Cifras!$D$2:$D$399,"partido")&gt;0,"Partido",IF(COUNTIFS(Cifras!$A$2:$A$399,$A12,Cifras!$E$2:$E$399,"Sí",Cifras!$F$2:$F$399,"Sí",Cifras!$D$2:$D$399,"departamento")&gt;0,"Departamento",IF(COUNTIFS(Cifras!$A$2:$A$399,$A12,Cifras!$E$2:$E$399,"Sí",Cifras!$F$2:$F$399,"Sí",Cifras!$D$2:$D$399,"provincia")&gt;0,"Provincia",IF(COUNTIFS(Cifras!$A$2:$A$399,$A12,Cifras!$E$2:$E$399,"Sí",Cifras!$F$2:$F$399,"Sí",Cifras!$D$2:$D$399,"region")&gt;0,"Región",IF(COUNTIFS(Cifras!$A$2:$A$399,$A12,Cifras!$E$2:$E$399,"Sí",Cifras!$F$2:$F$399,"Sí",Cifras!$D$2:$D$399,"pais")&gt;0,"País","—")))))))</f>
        <v>—</v>
      </c>
      <c r="R12" s="9" t="str">
        <f>IF(IFERROR(MATCH(TRUE,COUNTIFS(Catálogo!$J$2:$J$648,"*"&amp;$A12&amp;"*",Catálogo!$I$2:$I$648,"&lt;&gt;ausente",Catálogo!$M$2:$M$648,"completa",Catálogo!$L$2:$L$648,"*area*",Catálogo!$L$2:$L$648,"*sexo*",Catálogo!$Q$2:$Q$648,{1,2,3,4,5,6,7,8,9})&gt;0,0),0)&gt;0,INDEX(Niveles!$C$2:$C$10,IFERROR(MATCH(TRUE,COUNTIFS(Catálogo!$J$2:$J$648,"*"&amp;$A12&amp;"*",Catálogo!$I$2:$I$648,"&lt;&gt;ausente",Catálogo!$M$2:$M$648,"completa",Catálogo!$L$2:$L$648,"*area*",Catálogo!$L$2:$L$648,"*sexo*",Catálogo!$Q$2:$Q$648,{1,2,3,4,5,6,7,8,9})&gt;0,0),0))&amp;IF(AND(IFERROR(MATCH(TRUE,COUNTIFS(Catálogo!$J$2:$J$648,"*"&amp;$A12&amp;"*",Catálogo!$I$2:$I$648,"&lt;&gt;ausente",Catálogo!$M$2:$M$648,"parcial",Catálogo!$L$2:$L$648,"*area*",Catálogo!$L$2:$L$648,"*sexo*",Catálogo!$Q$2:$Q$648,{1,2,3,4,5,6,7,8,9})&gt;0,0),0)&gt;0,IFERROR(MATCH(TRUE,COUNTIFS(Catálogo!$J$2:$J$648,"*"&amp;$A12&amp;"*",Catálogo!$I$2:$I$648,"&lt;&gt;ausente",Catálogo!$M$2:$M$648,"parcial",Catálogo!$L$2:$L$648,"*area*",Catálogo!$L$2:$L$648,"*sexo*",Catálogo!$Q$2:$Q$648,{1,2,3,4,5,6,7,8,9})&gt;0,0),0)&lt;IFERROR(MATCH(TRUE,COUNTIFS(Catálogo!$J$2:$J$648,"*"&amp;$A12&amp;"*",Catálogo!$I$2:$I$648,"&lt;&gt;ausente",Catálogo!$M$2:$M$648,"completa",Catálogo!$L$2:$L$648,"*area*",Catálogo!$L$2:$L$648,"*sexo*",Catálogo!$Q$2:$Q$648,{1,2,3,4,5,6,7,8,9})&gt;0,0),0)),"; "&amp;LOWER(INDEX(Niveles!$C$2:$C$10,IFERROR(MATCH(TRUE,COUNTIFS(Catálogo!$J$2:$J$648,"*"&amp;$A12&amp;"*",Catálogo!$I$2:$I$648,"&lt;&gt;ausente",Catálogo!$M$2:$M$648,"parcial",Catálogo!$L$2:$L$648,"*area*",Catálogo!$L$2:$L$648,"*sexo*",Catálogo!$Q$2:$Q$648,{1,2,3,4,5,6,7,8,9})&gt;0,0),0)))&amp;" (parcial)",""),IF(IFERROR(MATCH(TRUE,COUNTIFS(Catálogo!$J$2:$J$648,"*"&amp;$A12&amp;"*",Catálogo!$I$2:$I$648,"&lt;&gt;ausente",Catálogo!$M$2:$M$648,"parcial",Catálogo!$L$2:$L$648,"*area*",Catálogo!$L$2:$L$648,"*sexo*",Catálogo!$Q$2:$Q$648,{1,2,3,4,5,6,7,8,9})&gt;0,0),0)&gt;0,INDEX(Niveles!$C$2:$C$10,IFERROR(MATCH(TRUE,COUNTIFS(Catálogo!$J$2:$J$648,"*"&amp;$A12&amp;"*",Catálogo!$I$2:$I$648,"&lt;&gt;ausente",Catálogo!$M$2:$M$648,"parcial",Catálogo!$L$2:$L$648,"*area*",Catálogo!$L$2:$L$648,"*sexo*",Catálogo!$Q$2:$Q$648,{1,2,3,4,5,6,7,8,9})&gt;0,0),0))&amp;" (parcial)","—"))</f>
        <v>—</v>
      </c>
      <c r="S12" s="8" t="str">
        <f>IF(COUNTIFS(Cifras!$A$2:$A$399,$A12,Cifras!$F$2:$F$399,"Sí",Cifras!$G$2:$G$399,"Sí",Cifras!$D$2:$D$399,"distrito")&gt;0,"Distrito",IF(COUNTIFS(Cifras!$A$2:$A$399,$A12,Cifras!$F$2:$F$399,"Sí",Cifras!$G$2:$G$399,"Sí",Cifras!$D$2:$D$399,"comuna")&gt;0,"Comuna",IF(COUNTIFS(Cifras!$A$2:$A$399,$A12,Cifras!$F$2:$F$399,"Sí",Cifras!$G$2:$G$399,"Sí",Cifras!$D$2:$D$399,"partido")&gt;0,"Partido",IF(COUNTIFS(Cifras!$A$2:$A$399,$A12,Cifras!$F$2:$F$399,"Sí",Cifras!$G$2:$G$399,"Sí",Cifras!$D$2:$D$399,"departamento")&gt;0,"Departamento",IF(COUNTIFS(Cifras!$A$2:$A$399,$A12,Cifras!$F$2:$F$399,"Sí",Cifras!$G$2:$G$399,"Sí",Cifras!$D$2:$D$399,"provincia")&gt;0,"Provincia",IF(COUNTIFS(Cifras!$A$2:$A$399,$A12,Cifras!$F$2:$F$399,"Sí",Cifras!$G$2:$G$399,"Sí",Cifras!$D$2:$D$399,"region")&gt;0,"Región",IF(COUNTIFS(Cifras!$A$2:$A$399,$A12,Cifras!$F$2:$F$399,"Sí",Cifras!$G$2:$G$399,"Sí",Cifras!$D$2:$D$399,"pais")&gt;0,"País","—")))))))</f>
        <v>Departamento</v>
      </c>
      <c r="T12" s="9" t="str">
        <f>IF(IFERROR(MATCH(TRUE,COUNTIFS(Catálogo!$J$2:$J$648,"*"&amp;$A12&amp;"*",Catálogo!$I$2:$I$648,"&lt;&gt;ausente",Catálogo!$M$2:$M$648,"completa",Catálogo!$L$2:$L$648,"*sexo*",Catálogo!$L$2:$L$648,"*edad*",Catálogo!$Q$2:$Q$648,{1,2,3,4,5,6,7,8,9})&gt;0,0),0)&gt;0,INDEX(Niveles!$C$2:$C$10,IFERROR(MATCH(TRUE,COUNTIFS(Catálogo!$J$2:$J$648,"*"&amp;$A12&amp;"*",Catálogo!$I$2:$I$648,"&lt;&gt;ausente",Catálogo!$M$2:$M$648,"completa",Catálogo!$L$2:$L$648,"*sexo*",Catálogo!$L$2:$L$648,"*edad*",Catálogo!$Q$2:$Q$648,{1,2,3,4,5,6,7,8,9})&gt;0,0),0))&amp;IF(AND(IFERROR(MATCH(TRUE,COUNTIFS(Catálogo!$J$2:$J$648,"*"&amp;$A12&amp;"*",Catálogo!$I$2:$I$648,"&lt;&gt;ausente",Catálogo!$M$2:$M$648,"parcial",Catálogo!$L$2:$L$648,"*sexo*",Catálogo!$L$2:$L$648,"*edad*",Catálogo!$Q$2:$Q$648,{1,2,3,4,5,6,7,8,9})&gt;0,0),0)&gt;0,IFERROR(MATCH(TRUE,COUNTIFS(Catálogo!$J$2:$J$648,"*"&amp;$A12&amp;"*",Catálogo!$I$2:$I$648,"&lt;&gt;ausente",Catálogo!$M$2:$M$648,"parcial",Catálogo!$L$2:$L$648,"*sexo*",Catálogo!$L$2:$L$648,"*edad*",Catálogo!$Q$2:$Q$648,{1,2,3,4,5,6,7,8,9})&gt;0,0),0)&lt;IFERROR(MATCH(TRUE,COUNTIFS(Catálogo!$J$2:$J$648,"*"&amp;$A12&amp;"*",Catálogo!$I$2:$I$648,"&lt;&gt;ausente",Catálogo!$M$2:$M$648,"completa",Catálogo!$L$2:$L$648,"*sexo*",Catálogo!$L$2:$L$648,"*edad*",Catálogo!$Q$2:$Q$648,{1,2,3,4,5,6,7,8,9})&gt;0,0),0)),"; "&amp;LOWER(INDEX(Niveles!$C$2:$C$10,IFERROR(MATCH(TRUE,COUNTIFS(Catálogo!$J$2:$J$648,"*"&amp;$A12&amp;"*",Catálogo!$I$2:$I$648,"&lt;&gt;ausente",Catálogo!$M$2:$M$648,"parcial",Catálogo!$L$2:$L$648,"*sexo*",Catálogo!$L$2:$L$648,"*edad*",Catálogo!$Q$2:$Q$648,{1,2,3,4,5,6,7,8,9})&gt;0,0),0)))&amp;" (parcial)",""),IF(IFERROR(MATCH(TRUE,COUNTIFS(Catálogo!$J$2:$J$648,"*"&amp;$A12&amp;"*",Catálogo!$I$2:$I$648,"&lt;&gt;ausente",Catálogo!$M$2:$M$648,"parcial",Catálogo!$L$2:$L$648,"*sexo*",Catálogo!$L$2:$L$648,"*edad*",Catálogo!$Q$2:$Q$648,{1,2,3,4,5,6,7,8,9})&gt;0,0),0)&gt;0,INDEX(Niveles!$C$2:$C$10,IFERROR(MATCH(TRUE,COUNTIFS(Catálogo!$J$2:$J$648,"*"&amp;$A12&amp;"*",Catálogo!$I$2:$I$648,"&lt;&gt;ausente",Catálogo!$M$2:$M$648,"parcial",Catálogo!$L$2:$L$648,"*sexo*",Catálogo!$L$2:$L$648,"*edad*",Catálogo!$Q$2:$Q$648,{1,2,3,4,5,6,7,8,9})&gt;0,0),0))&amp;" (parcial)","—"))</f>
        <v>Distrito</v>
      </c>
      <c r="U12" s="7">
        <f>SUMIFS(Cifras!$J$2:$J$399,Cifras!$A$2:$A$399,$A12)</f>
        <v>60</v>
      </c>
      <c r="V12" s="14" t="s">
        <v>44</v>
      </c>
      <c r="W12" s="11" t="s">
        <v>51</v>
      </c>
      <c r="X12" s="11" t="s">
        <v>52</v>
      </c>
    </row>
    <row r="13" spans="1:24" ht="76.5" x14ac:dyDescent="0.25">
      <c r="A13" s="5">
        <v>1907</v>
      </c>
      <c r="B13" s="6" t="s">
        <v>53</v>
      </c>
      <c r="C13" s="7">
        <v>1277</v>
      </c>
      <c r="D13" s="7">
        <f>COUNTIFS(Catálogo!$B$2:$B$648,$A13)</f>
        <v>34</v>
      </c>
      <c r="E13" s="7">
        <f>COUNTIFS(Catálogo!$B$2:$B$648,$A13,Catálogo!$F$2:$F$648,"cuadro")</f>
        <v>5</v>
      </c>
      <c r="F13" s="7">
        <f>COUNTIFS(Catálogo!$B$2:$B$648,$A13,Catálogo!$F$2:$F$648,"bloque")</f>
        <v>25</v>
      </c>
      <c r="G13" s="7">
        <f>COUNTIFS(Catálogo!$B$2:$B$648,$A13,Catálogo!$F$2:$F$648,"texto")</f>
        <v>4</v>
      </c>
      <c r="H13" s="7">
        <f>COUNTIFS(Catálogo!$B$2:$B$648,$A13,Catálogo!$I$2:$I$648,"verificada")</f>
        <v>7</v>
      </c>
      <c r="I13" s="7">
        <f>COUNTIFS(Catálogo!$B$2:$B$648,$A13,Catálogo!$I$2:$I$648,"estimada")</f>
        <v>27</v>
      </c>
      <c r="J13" s="7">
        <f>COUNTIFS(Catálogo!$B$2:$B$648,$A13,Catálogo!$I$2:$I$648,"desconocida")+COUNTIFS(Catálogo!$B$2:$B$648,$A13,Catálogo!$I$2:$I$648,"ausente")</f>
        <v>0</v>
      </c>
      <c r="K13" s="7">
        <f>COUNTIFS(Catálogo!$B$2:$B$648,$A13,Catálogo!$O$2:$O$648,"transcrito")</f>
        <v>2</v>
      </c>
      <c r="L13" s="7">
        <f>SUMIFS(Cifras!$H$2:$H$399,Cifras!$A$2:$A$399,$A13)</f>
        <v>5980</v>
      </c>
      <c r="M13" s="8" t="str">
        <f>IF(COUNTIFS(Cifras!$A$2:$A$399,$A13,Cifras!$D$2:$D$399,"distrito")&gt;0,"Distrito",IF(COUNTIFS(Cifras!$A$2:$A$399,$A13,Cifras!$D$2:$D$399,"comuna")&gt;0,"Comuna",IF(COUNTIFS(Cifras!$A$2:$A$399,$A13,Cifras!$D$2:$D$399,"partido")&gt;0,"Partido",IF(COUNTIFS(Cifras!$A$2:$A$399,$A13,Cifras!$D$2:$D$399,"departamento")&gt;0,"Departamento",IF(COUNTIFS(Cifras!$A$2:$A$399,$A13,Cifras!$D$2:$D$399,"provincia")&gt;0,"Provincia",IF(COUNTIFS(Cifras!$A$2:$A$399,$A13,Cifras!$D$2:$D$399,"region")&gt;0,"Región",IF(COUNTIFS(Cifras!$A$2:$A$399,$A13,Cifras!$D$2:$D$399,"pais")&gt;0,"País","—")))))))</f>
        <v>Departamento</v>
      </c>
      <c r="N13" s="9" t="str">
        <f>IF(IFERROR(MATCH(TRUE,COUNTIFS(Catálogo!$J$2:$J$648,"*"&amp;$A13&amp;"*",Catálogo!$I$2:$I$648,"&lt;&gt;ausente",Catálogo!$M$2:$M$648,"completa",Catálogo!$Q$2:$Q$648,{1,2,3,4,5,6,7,8,9})&gt;0,0),0)&gt;0,INDEX(Niveles!$C$2:$C$10,IFERROR(MATCH(TRUE,COUNTIFS(Catálogo!$J$2:$J$648,"*"&amp;$A13&amp;"*",Catálogo!$I$2:$I$648,"&lt;&gt;ausente",Catálogo!$M$2:$M$648,"completa",Catálogo!$Q$2:$Q$648,{1,2,3,4,5,6,7,8,9})&gt;0,0),0))&amp;IF(AND(IFERROR(MATCH(TRUE,COUNTIFS(Catálogo!$J$2:$J$648,"*"&amp;$A13&amp;"*",Catálogo!$I$2:$I$648,"&lt;&gt;ausente",Catálogo!$M$2:$M$648,"parcial",Catálogo!$Q$2:$Q$648,{1,2,3,4,5,6,7,8,9})&gt;0,0),0)&gt;0,IFERROR(MATCH(TRUE,COUNTIFS(Catálogo!$J$2:$J$648,"*"&amp;$A13&amp;"*",Catálogo!$I$2:$I$648,"&lt;&gt;ausente",Catálogo!$M$2:$M$648,"parcial",Catálogo!$Q$2:$Q$648,{1,2,3,4,5,6,7,8,9})&gt;0,0),0)&lt;IFERROR(MATCH(TRUE,COUNTIFS(Catálogo!$J$2:$J$648,"*"&amp;$A13&amp;"*",Catálogo!$I$2:$I$648,"&lt;&gt;ausente",Catálogo!$M$2:$M$648,"completa",Catálogo!$Q$2:$Q$648,{1,2,3,4,5,6,7,8,9})&gt;0,0),0)),"; "&amp;LOWER(INDEX(Niveles!$C$2:$C$10,IFERROR(MATCH(TRUE,COUNTIFS(Catálogo!$J$2:$J$648,"*"&amp;$A13&amp;"*",Catálogo!$I$2:$I$648,"&lt;&gt;ausente",Catálogo!$M$2:$M$648,"parcial",Catálogo!$Q$2:$Q$648,{1,2,3,4,5,6,7,8,9})&gt;0,0),0)))&amp;" (parcial)",""),IF(IFERROR(MATCH(TRUE,COUNTIFS(Catálogo!$J$2:$J$648,"*"&amp;$A13&amp;"*",Catálogo!$I$2:$I$648,"&lt;&gt;ausente",Catálogo!$M$2:$M$648,"parcial",Catálogo!$Q$2:$Q$648,{1,2,3,4,5,6,7,8,9})&gt;0,0),0)&gt;0,INDEX(Niveles!$C$2:$C$10,IFERROR(MATCH(TRUE,COUNTIFS(Catálogo!$J$2:$J$648,"*"&amp;$A13&amp;"*",Catálogo!$I$2:$I$648,"&lt;&gt;ausente",Catálogo!$M$2:$M$648,"parcial",Catálogo!$Q$2:$Q$648,{1,2,3,4,5,6,7,8,9})&gt;0,0),0))&amp;" (parcial)","—"))</f>
        <v>Distrito</v>
      </c>
      <c r="O13" s="8" t="str">
        <f>IF(COUNTIFS(Cifras!$A$2:$A$399,$A13,Cifras!$E$2:$E$399,"Sí",Cifras!$D$2:$D$399,"distrito")&gt;0,"Distrito",IF(COUNTIFS(Cifras!$A$2:$A$399,$A13,Cifras!$E$2:$E$399,"Sí",Cifras!$D$2:$D$399,"comuna")&gt;0,"Comuna",IF(COUNTIFS(Cifras!$A$2:$A$399,$A13,Cifras!$E$2:$E$399,"Sí",Cifras!$D$2:$D$399,"partido")&gt;0,"Partido",IF(COUNTIFS(Cifras!$A$2:$A$399,$A13,Cifras!$E$2:$E$399,"Sí",Cifras!$D$2:$D$399,"departamento")&gt;0,"Departamento",IF(COUNTIFS(Cifras!$A$2:$A$399,$A13,Cifras!$E$2:$E$399,"Sí",Cifras!$D$2:$D$399,"provincia")&gt;0,"Provincia",IF(COUNTIFS(Cifras!$A$2:$A$399,$A13,Cifras!$E$2:$E$399,"Sí",Cifras!$D$2:$D$399,"region")&gt;0,"Región",IF(COUNTIFS(Cifras!$A$2:$A$399,$A13,Cifras!$E$2:$E$399,"Sí",Cifras!$D$2:$D$399,"pais")&gt;0,"País","—")))))))</f>
        <v>Departamento</v>
      </c>
      <c r="P13" s="9" t="str">
        <f>IF(IFERROR(MATCH(TRUE,COUNTIFS(Catálogo!$J$2:$J$648,"*"&amp;$A13&amp;"*",Catálogo!$I$2:$I$648,"&lt;&gt;ausente",Catálogo!$M$2:$M$648,"completa",Catálogo!$L$2:$L$648,"*area*",Catálogo!$Q$2:$Q$648,{1,2,3,4,5,6,7,8,9})&gt;0,0),0)&gt;0,INDEX(Niveles!$C$2:$C$10,IFERROR(MATCH(TRUE,COUNTIFS(Catálogo!$J$2:$J$648,"*"&amp;$A13&amp;"*",Catálogo!$I$2:$I$648,"&lt;&gt;ausente",Catálogo!$M$2:$M$648,"completa",Catálogo!$L$2:$L$648,"*area*",Catálogo!$Q$2:$Q$648,{1,2,3,4,5,6,7,8,9})&gt;0,0),0))&amp;IF(AND(IFERROR(MATCH(TRUE,COUNTIFS(Catálogo!$J$2:$J$648,"*"&amp;$A13&amp;"*",Catálogo!$I$2:$I$648,"&lt;&gt;ausente",Catálogo!$M$2:$M$648,"parcial",Catálogo!$L$2:$L$648,"*area*",Catálogo!$Q$2:$Q$648,{1,2,3,4,5,6,7,8,9})&gt;0,0),0)&gt;0,IFERROR(MATCH(TRUE,COUNTIFS(Catálogo!$J$2:$J$648,"*"&amp;$A13&amp;"*",Catálogo!$I$2:$I$648,"&lt;&gt;ausente",Catálogo!$M$2:$M$648,"parcial",Catálogo!$L$2:$L$648,"*area*",Catálogo!$Q$2:$Q$648,{1,2,3,4,5,6,7,8,9})&gt;0,0),0)&lt;IFERROR(MATCH(TRUE,COUNTIFS(Catálogo!$J$2:$J$648,"*"&amp;$A13&amp;"*",Catálogo!$I$2:$I$648,"&lt;&gt;ausente",Catálogo!$M$2:$M$648,"completa",Catálogo!$L$2:$L$648,"*area*",Catálogo!$Q$2:$Q$648,{1,2,3,4,5,6,7,8,9})&gt;0,0),0)),"; "&amp;LOWER(INDEX(Niveles!$C$2:$C$10,IFERROR(MATCH(TRUE,COUNTIFS(Catálogo!$J$2:$J$648,"*"&amp;$A13&amp;"*",Catálogo!$I$2:$I$648,"&lt;&gt;ausente",Catálogo!$M$2:$M$648,"parcial",Catálogo!$L$2:$L$648,"*area*",Catálogo!$Q$2:$Q$648,{1,2,3,4,5,6,7,8,9})&gt;0,0),0)))&amp;" (parcial)",""),IF(IFERROR(MATCH(TRUE,COUNTIFS(Catálogo!$J$2:$J$648,"*"&amp;$A13&amp;"*",Catálogo!$I$2:$I$648,"&lt;&gt;ausente",Catálogo!$M$2:$M$648,"parcial",Catálogo!$L$2:$L$648,"*area*",Catálogo!$Q$2:$Q$648,{1,2,3,4,5,6,7,8,9})&gt;0,0),0)&gt;0,INDEX(Niveles!$C$2:$C$10,IFERROR(MATCH(TRUE,COUNTIFS(Catálogo!$J$2:$J$648,"*"&amp;$A13&amp;"*",Catálogo!$I$2:$I$648,"&lt;&gt;ausente",Catálogo!$M$2:$M$648,"parcial",Catálogo!$L$2:$L$648,"*area*",Catálogo!$Q$2:$Q$648,{1,2,3,4,5,6,7,8,9})&gt;0,0),0))&amp;" (parcial)","—"))</f>
        <v>Distrito</v>
      </c>
      <c r="Q13" s="8" t="str">
        <f>IF(COUNTIFS(Cifras!$A$2:$A$399,$A13,Cifras!$E$2:$E$399,"Sí",Cifras!$F$2:$F$399,"Sí",Cifras!$D$2:$D$399,"distrito")&gt;0,"Distrito",IF(COUNTIFS(Cifras!$A$2:$A$399,$A13,Cifras!$E$2:$E$399,"Sí",Cifras!$F$2:$F$399,"Sí",Cifras!$D$2:$D$399,"comuna")&gt;0,"Comuna",IF(COUNTIFS(Cifras!$A$2:$A$399,$A13,Cifras!$E$2:$E$399,"Sí",Cifras!$F$2:$F$399,"Sí",Cifras!$D$2:$D$399,"partido")&gt;0,"Partido",IF(COUNTIFS(Cifras!$A$2:$A$399,$A13,Cifras!$E$2:$E$399,"Sí",Cifras!$F$2:$F$399,"Sí",Cifras!$D$2:$D$399,"departamento")&gt;0,"Departamento",IF(COUNTIFS(Cifras!$A$2:$A$399,$A13,Cifras!$E$2:$E$399,"Sí",Cifras!$F$2:$F$399,"Sí",Cifras!$D$2:$D$399,"provincia")&gt;0,"Provincia",IF(COUNTIFS(Cifras!$A$2:$A$399,$A13,Cifras!$E$2:$E$399,"Sí",Cifras!$F$2:$F$399,"Sí",Cifras!$D$2:$D$399,"region")&gt;0,"Región",IF(COUNTIFS(Cifras!$A$2:$A$399,$A13,Cifras!$E$2:$E$399,"Sí",Cifras!$F$2:$F$399,"Sí",Cifras!$D$2:$D$399,"pais")&gt;0,"País","—")))))))</f>
        <v>Departamento</v>
      </c>
      <c r="R13" s="9" t="str">
        <f>IF(IFERROR(MATCH(TRUE,COUNTIFS(Catálogo!$J$2:$J$648,"*"&amp;$A13&amp;"*",Catálogo!$I$2:$I$648,"&lt;&gt;ausente",Catálogo!$M$2:$M$648,"completa",Catálogo!$L$2:$L$648,"*area*",Catálogo!$L$2:$L$648,"*sexo*",Catálogo!$Q$2:$Q$648,{1,2,3,4,5,6,7,8,9})&gt;0,0),0)&gt;0,INDEX(Niveles!$C$2:$C$10,IFERROR(MATCH(TRUE,COUNTIFS(Catálogo!$J$2:$J$648,"*"&amp;$A13&amp;"*",Catálogo!$I$2:$I$648,"&lt;&gt;ausente",Catálogo!$M$2:$M$648,"completa",Catálogo!$L$2:$L$648,"*area*",Catálogo!$L$2:$L$648,"*sexo*",Catálogo!$Q$2:$Q$648,{1,2,3,4,5,6,7,8,9})&gt;0,0),0))&amp;IF(AND(IFERROR(MATCH(TRUE,COUNTIFS(Catálogo!$J$2:$J$648,"*"&amp;$A13&amp;"*",Catálogo!$I$2:$I$648,"&lt;&gt;ausente",Catálogo!$M$2:$M$648,"parcial",Catálogo!$L$2:$L$648,"*area*",Catálogo!$L$2:$L$648,"*sexo*",Catálogo!$Q$2:$Q$648,{1,2,3,4,5,6,7,8,9})&gt;0,0),0)&gt;0,IFERROR(MATCH(TRUE,COUNTIFS(Catálogo!$J$2:$J$648,"*"&amp;$A13&amp;"*",Catálogo!$I$2:$I$648,"&lt;&gt;ausente",Catálogo!$M$2:$M$648,"parcial",Catálogo!$L$2:$L$648,"*area*",Catálogo!$L$2:$L$648,"*sexo*",Catálogo!$Q$2:$Q$648,{1,2,3,4,5,6,7,8,9})&gt;0,0),0)&lt;IFERROR(MATCH(TRUE,COUNTIFS(Catálogo!$J$2:$J$648,"*"&amp;$A13&amp;"*",Catálogo!$I$2:$I$648,"&lt;&gt;ausente",Catálogo!$M$2:$M$648,"completa",Catálogo!$L$2:$L$648,"*area*",Catálogo!$L$2:$L$648,"*sexo*",Catálogo!$Q$2:$Q$648,{1,2,3,4,5,6,7,8,9})&gt;0,0),0)),"; "&amp;LOWER(INDEX(Niveles!$C$2:$C$10,IFERROR(MATCH(TRUE,COUNTIFS(Catálogo!$J$2:$J$648,"*"&amp;$A13&amp;"*",Catálogo!$I$2:$I$648,"&lt;&gt;ausente",Catálogo!$M$2:$M$648,"parcial",Catálogo!$L$2:$L$648,"*area*",Catálogo!$L$2:$L$648,"*sexo*",Catálogo!$Q$2:$Q$648,{1,2,3,4,5,6,7,8,9})&gt;0,0),0)))&amp;" (parcial)",""),IF(IFERROR(MATCH(TRUE,COUNTIFS(Catálogo!$J$2:$J$648,"*"&amp;$A13&amp;"*",Catálogo!$I$2:$I$648,"&lt;&gt;ausente",Catálogo!$M$2:$M$648,"parcial",Catálogo!$L$2:$L$648,"*area*",Catálogo!$L$2:$L$648,"*sexo*",Catálogo!$Q$2:$Q$648,{1,2,3,4,5,6,7,8,9})&gt;0,0),0)&gt;0,INDEX(Niveles!$C$2:$C$10,IFERROR(MATCH(TRUE,COUNTIFS(Catálogo!$J$2:$J$648,"*"&amp;$A13&amp;"*",Catálogo!$I$2:$I$648,"&lt;&gt;ausente",Catálogo!$M$2:$M$648,"parcial",Catálogo!$L$2:$L$648,"*area*",Catálogo!$L$2:$L$648,"*sexo*",Catálogo!$Q$2:$Q$648,{1,2,3,4,5,6,7,8,9})&gt;0,0),0))&amp;" (parcial)","—"))</f>
        <v>Distrito</v>
      </c>
      <c r="S13" s="8" t="str">
        <f>IF(COUNTIFS(Cifras!$A$2:$A$399,$A13,Cifras!$F$2:$F$399,"Sí",Cifras!$G$2:$G$399,"Sí",Cifras!$D$2:$D$399,"distrito")&gt;0,"Distrito",IF(COUNTIFS(Cifras!$A$2:$A$399,$A13,Cifras!$F$2:$F$399,"Sí",Cifras!$G$2:$G$399,"Sí",Cifras!$D$2:$D$399,"comuna")&gt;0,"Comuna",IF(COUNTIFS(Cifras!$A$2:$A$399,$A13,Cifras!$F$2:$F$399,"Sí",Cifras!$G$2:$G$399,"Sí",Cifras!$D$2:$D$399,"partido")&gt;0,"Partido",IF(COUNTIFS(Cifras!$A$2:$A$399,$A13,Cifras!$F$2:$F$399,"Sí",Cifras!$G$2:$G$399,"Sí",Cifras!$D$2:$D$399,"departamento")&gt;0,"Departamento",IF(COUNTIFS(Cifras!$A$2:$A$399,$A13,Cifras!$F$2:$F$399,"Sí",Cifras!$G$2:$G$399,"Sí",Cifras!$D$2:$D$399,"provincia")&gt;0,"Provincia",IF(COUNTIFS(Cifras!$A$2:$A$399,$A13,Cifras!$F$2:$F$399,"Sí",Cifras!$G$2:$G$399,"Sí",Cifras!$D$2:$D$399,"region")&gt;0,"Región",IF(COUNTIFS(Cifras!$A$2:$A$399,$A13,Cifras!$F$2:$F$399,"Sí",Cifras!$G$2:$G$399,"Sí",Cifras!$D$2:$D$399,"pais")&gt;0,"País","—")))))))</f>
        <v>Departamento</v>
      </c>
      <c r="T13" s="9" t="str">
        <f>IF(IFERROR(MATCH(TRUE,COUNTIFS(Catálogo!$J$2:$J$648,"*"&amp;$A13&amp;"*",Catálogo!$I$2:$I$648,"&lt;&gt;ausente",Catálogo!$M$2:$M$648,"completa",Catálogo!$L$2:$L$648,"*sexo*",Catálogo!$L$2:$L$648,"*edad*",Catálogo!$Q$2:$Q$648,{1,2,3,4,5,6,7,8,9})&gt;0,0),0)&gt;0,INDEX(Niveles!$C$2:$C$10,IFERROR(MATCH(TRUE,COUNTIFS(Catálogo!$J$2:$J$648,"*"&amp;$A13&amp;"*",Catálogo!$I$2:$I$648,"&lt;&gt;ausente",Catálogo!$M$2:$M$648,"completa",Catálogo!$L$2:$L$648,"*sexo*",Catálogo!$L$2:$L$648,"*edad*",Catálogo!$Q$2:$Q$648,{1,2,3,4,5,6,7,8,9})&gt;0,0),0))&amp;IF(AND(IFERROR(MATCH(TRUE,COUNTIFS(Catálogo!$J$2:$J$648,"*"&amp;$A13&amp;"*",Catálogo!$I$2:$I$648,"&lt;&gt;ausente",Catálogo!$M$2:$M$648,"parcial",Catálogo!$L$2:$L$648,"*sexo*",Catálogo!$L$2:$L$648,"*edad*",Catálogo!$Q$2:$Q$648,{1,2,3,4,5,6,7,8,9})&gt;0,0),0)&gt;0,IFERROR(MATCH(TRUE,COUNTIFS(Catálogo!$J$2:$J$648,"*"&amp;$A13&amp;"*",Catálogo!$I$2:$I$648,"&lt;&gt;ausente",Catálogo!$M$2:$M$648,"parcial",Catálogo!$L$2:$L$648,"*sexo*",Catálogo!$L$2:$L$648,"*edad*",Catálogo!$Q$2:$Q$648,{1,2,3,4,5,6,7,8,9})&gt;0,0),0)&lt;IFERROR(MATCH(TRUE,COUNTIFS(Catálogo!$J$2:$J$648,"*"&amp;$A13&amp;"*",Catálogo!$I$2:$I$648,"&lt;&gt;ausente",Catálogo!$M$2:$M$648,"completa",Catálogo!$L$2:$L$648,"*sexo*",Catálogo!$L$2:$L$648,"*edad*",Catálogo!$Q$2:$Q$648,{1,2,3,4,5,6,7,8,9})&gt;0,0),0)),"; "&amp;LOWER(INDEX(Niveles!$C$2:$C$10,IFERROR(MATCH(TRUE,COUNTIFS(Catálogo!$J$2:$J$648,"*"&amp;$A13&amp;"*",Catálogo!$I$2:$I$648,"&lt;&gt;ausente",Catálogo!$M$2:$M$648,"parcial",Catálogo!$L$2:$L$648,"*sexo*",Catálogo!$L$2:$L$648,"*edad*",Catálogo!$Q$2:$Q$648,{1,2,3,4,5,6,7,8,9})&gt;0,0),0)))&amp;" (parcial)",""),IF(IFERROR(MATCH(TRUE,COUNTIFS(Catálogo!$J$2:$J$648,"*"&amp;$A13&amp;"*",Catálogo!$I$2:$I$648,"&lt;&gt;ausente",Catálogo!$M$2:$M$648,"parcial",Catálogo!$L$2:$L$648,"*sexo*",Catálogo!$L$2:$L$648,"*edad*",Catálogo!$Q$2:$Q$648,{1,2,3,4,5,6,7,8,9})&gt;0,0),0)&gt;0,INDEX(Niveles!$C$2:$C$10,IFERROR(MATCH(TRUE,COUNTIFS(Catálogo!$J$2:$J$648,"*"&amp;$A13&amp;"*",Catálogo!$I$2:$I$648,"&lt;&gt;ausente",Catálogo!$M$2:$M$648,"parcial",Catálogo!$L$2:$L$648,"*sexo*",Catálogo!$L$2:$L$648,"*edad*",Catálogo!$Q$2:$Q$648,{1,2,3,4,5,6,7,8,9})&gt;0,0),0))&amp;" (parcial)","—"))</f>
        <v>Departamento</v>
      </c>
      <c r="U13" s="7">
        <f>SUMIFS(Cifras!$J$2:$J$399,Cifras!$A$2:$A$399,$A13)</f>
        <v>6</v>
      </c>
      <c r="V13" s="14" t="s">
        <v>44</v>
      </c>
      <c r="W13" s="11" t="s">
        <v>54</v>
      </c>
      <c r="X13" s="11" t="s">
        <v>55</v>
      </c>
    </row>
    <row r="14" spans="1:24" ht="51" x14ac:dyDescent="0.25">
      <c r="A14" s="5">
        <v>1920</v>
      </c>
      <c r="B14" s="6" t="s">
        <v>56</v>
      </c>
      <c r="C14" s="7">
        <v>625</v>
      </c>
      <c r="D14" s="7">
        <f>COUNTIFS(Catálogo!$B$2:$B$648,$A14)</f>
        <v>27</v>
      </c>
      <c r="E14" s="7">
        <f>COUNTIFS(Catálogo!$B$2:$B$648,$A14,Catálogo!$F$2:$F$648,"cuadro")</f>
        <v>26</v>
      </c>
      <c r="F14" s="7">
        <f>COUNTIFS(Catálogo!$B$2:$B$648,$A14,Catálogo!$F$2:$F$648,"bloque")</f>
        <v>0</v>
      </c>
      <c r="G14" s="7">
        <f>COUNTIFS(Catálogo!$B$2:$B$648,$A14,Catálogo!$F$2:$F$648,"texto")</f>
        <v>1</v>
      </c>
      <c r="H14" s="7">
        <f>COUNTIFS(Catálogo!$B$2:$B$648,$A14,Catálogo!$I$2:$I$648,"verificada")</f>
        <v>15</v>
      </c>
      <c r="I14" s="7">
        <f>COUNTIFS(Catálogo!$B$2:$B$648,$A14,Catálogo!$I$2:$I$648,"estimada")</f>
        <v>12</v>
      </c>
      <c r="J14" s="7">
        <f>COUNTIFS(Catálogo!$B$2:$B$648,$A14,Catálogo!$I$2:$I$648,"desconocida")+COUNTIFS(Catálogo!$B$2:$B$648,$A14,Catálogo!$I$2:$I$648,"ausente")</f>
        <v>0</v>
      </c>
      <c r="K14" s="7">
        <f>COUNTIFS(Catálogo!$B$2:$B$648,$A14,Catálogo!$O$2:$O$648,"transcrito")</f>
        <v>4</v>
      </c>
      <c r="L14" s="7">
        <f>SUMIFS(Cifras!$H$2:$H$399,Cifras!$A$2:$A$399,$A14)</f>
        <v>8743</v>
      </c>
      <c r="M14" s="8" t="str">
        <f>IF(COUNTIFS(Cifras!$A$2:$A$399,$A14,Cifras!$D$2:$D$399,"distrito")&gt;0,"Distrito",IF(COUNTIFS(Cifras!$A$2:$A$399,$A14,Cifras!$D$2:$D$399,"comuna")&gt;0,"Comuna",IF(COUNTIFS(Cifras!$A$2:$A$399,$A14,Cifras!$D$2:$D$399,"partido")&gt;0,"Partido",IF(COUNTIFS(Cifras!$A$2:$A$399,$A14,Cifras!$D$2:$D$399,"departamento")&gt;0,"Departamento",IF(COUNTIFS(Cifras!$A$2:$A$399,$A14,Cifras!$D$2:$D$399,"provincia")&gt;0,"Provincia",IF(COUNTIFS(Cifras!$A$2:$A$399,$A14,Cifras!$D$2:$D$399,"region")&gt;0,"Región",IF(COUNTIFS(Cifras!$A$2:$A$399,$A14,Cifras!$D$2:$D$399,"pais")&gt;0,"País","—")))))))</f>
        <v>Departamento</v>
      </c>
      <c r="N14" s="9" t="str">
        <f>IF(IFERROR(MATCH(TRUE,COUNTIFS(Catálogo!$J$2:$J$648,"*"&amp;$A14&amp;"*",Catálogo!$I$2:$I$648,"&lt;&gt;ausente",Catálogo!$M$2:$M$648,"completa",Catálogo!$Q$2:$Q$648,{1,2,3,4,5,6,7,8,9})&gt;0,0),0)&gt;0,INDEX(Niveles!$C$2:$C$10,IFERROR(MATCH(TRUE,COUNTIFS(Catálogo!$J$2:$J$648,"*"&amp;$A14&amp;"*",Catálogo!$I$2:$I$648,"&lt;&gt;ausente",Catálogo!$M$2:$M$648,"completa",Catálogo!$Q$2:$Q$648,{1,2,3,4,5,6,7,8,9})&gt;0,0),0))&amp;IF(AND(IFERROR(MATCH(TRUE,COUNTIFS(Catálogo!$J$2:$J$648,"*"&amp;$A14&amp;"*",Catálogo!$I$2:$I$648,"&lt;&gt;ausente",Catálogo!$M$2:$M$648,"parcial",Catálogo!$Q$2:$Q$648,{1,2,3,4,5,6,7,8,9})&gt;0,0),0)&gt;0,IFERROR(MATCH(TRUE,COUNTIFS(Catálogo!$J$2:$J$648,"*"&amp;$A14&amp;"*",Catálogo!$I$2:$I$648,"&lt;&gt;ausente",Catálogo!$M$2:$M$648,"parcial",Catálogo!$Q$2:$Q$648,{1,2,3,4,5,6,7,8,9})&gt;0,0),0)&lt;IFERROR(MATCH(TRUE,COUNTIFS(Catálogo!$J$2:$J$648,"*"&amp;$A14&amp;"*",Catálogo!$I$2:$I$648,"&lt;&gt;ausente",Catálogo!$M$2:$M$648,"completa",Catálogo!$Q$2:$Q$648,{1,2,3,4,5,6,7,8,9})&gt;0,0),0)),"; "&amp;LOWER(INDEX(Niveles!$C$2:$C$10,IFERROR(MATCH(TRUE,COUNTIFS(Catálogo!$J$2:$J$648,"*"&amp;$A14&amp;"*",Catálogo!$I$2:$I$648,"&lt;&gt;ausente",Catálogo!$M$2:$M$648,"parcial",Catálogo!$Q$2:$Q$648,{1,2,3,4,5,6,7,8,9})&gt;0,0),0)))&amp;" (parcial)",""),IF(IFERROR(MATCH(TRUE,COUNTIFS(Catálogo!$J$2:$J$648,"*"&amp;$A14&amp;"*",Catálogo!$I$2:$I$648,"&lt;&gt;ausente",Catálogo!$M$2:$M$648,"parcial",Catálogo!$Q$2:$Q$648,{1,2,3,4,5,6,7,8,9})&gt;0,0),0)&gt;0,INDEX(Niveles!$C$2:$C$10,IFERROR(MATCH(TRUE,COUNTIFS(Catálogo!$J$2:$J$648,"*"&amp;$A14&amp;"*",Catálogo!$I$2:$I$648,"&lt;&gt;ausente",Catálogo!$M$2:$M$648,"parcial",Catálogo!$Q$2:$Q$648,{1,2,3,4,5,6,7,8,9})&gt;0,0),0))&amp;" (parcial)","—"))</f>
        <v>Distrito</v>
      </c>
      <c r="O14" s="8" t="str">
        <f>IF(COUNTIFS(Cifras!$A$2:$A$399,$A14,Cifras!$E$2:$E$399,"Sí",Cifras!$D$2:$D$399,"distrito")&gt;0,"Distrito",IF(COUNTIFS(Cifras!$A$2:$A$399,$A14,Cifras!$E$2:$E$399,"Sí",Cifras!$D$2:$D$399,"comuna")&gt;0,"Comuna",IF(COUNTIFS(Cifras!$A$2:$A$399,$A14,Cifras!$E$2:$E$399,"Sí",Cifras!$D$2:$D$399,"partido")&gt;0,"Partido",IF(COUNTIFS(Cifras!$A$2:$A$399,$A14,Cifras!$E$2:$E$399,"Sí",Cifras!$D$2:$D$399,"departamento")&gt;0,"Departamento",IF(COUNTIFS(Cifras!$A$2:$A$399,$A14,Cifras!$E$2:$E$399,"Sí",Cifras!$D$2:$D$399,"provincia")&gt;0,"Provincia",IF(COUNTIFS(Cifras!$A$2:$A$399,$A14,Cifras!$E$2:$E$399,"Sí",Cifras!$D$2:$D$399,"region")&gt;0,"Región",IF(COUNTIFS(Cifras!$A$2:$A$399,$A14,Cifras!$E$2:$E$399,"Sí",Cifras!$D$2:$D$399,"pais")&gt;0,"País","—")))))))</f>
        <v>Departamento</v>
      </c>
      <c r="P14" s="9" t="str">
        <f>IF(IFERROR(MATCH(TRUE,COUNTIFS(Catálogo!$J$2:$J$648,"*"&amp;$A14&amp;"*",Catálogo!$I$2:$I$648,"&lt;&gt;ausente",Catálogo!$M$2:$M$648,"completa",Catálogo!$L$2:$L$648,"*area*",Catálogo!$Q$2:$Q$648,{1,2,3,4,5,6,7,8,9})&gt;0,0),0)&gt;0,INDEX(Niveles!$C$2:$C$10,IFERROR(MATCH(TRUE,COUNTIFS(Catálogo!$J$2:$J$648,"*"&amp;$A14&amp;"*",Catálogo!$I$2:$I$648,"&lt;&gt;ausente",Catálogo!$M$2:$M$648,"completa",Catálogo!$L$2:$L$648,"*area*",Catálogo!$Q$2:$Q$648,{1,2,3,4,5,6,7,8,9})&gt;0,0),0))&amp;IF(AND(IFERROR(MATCH(TRUE,COUNTIFS(Catálogo!$J$2:$J$648,"*"&amp;$A14&amp;"*",Catálogo!$I$2:$I$648,"&lt;&gt;ausente",Catálogo!$M$2:$M$648,"parcial",Catálogo!$L$2:$L$648,"*area*",Catálogo!$Q$2:$Q$648,{1,2,3,4,5,6,7,8,9})&gt;0,0),0)&gt;0,IFERROR(MATCH(TRUE,COUNTIFS(Catálogo!$J$2:$J$648,"*"&amp;$A14&amp;"*",Catálogo!$I$2:$I$648,"&lt;&gt;ausente",Catálogo!$M$2:$M$648,"parcial",Catálogo!$L$2:$L$648,"*area*",Catálogo!$Q$2:$Q$648,{1,2,3,4,5,6,7,8,9})&gt;0,0),0)&lt;IFERROR(MATCH(TRUE,COUNTIFS(Catálogo!$J$2:$J$648,"*"&amp;$A14&amp;"*",Catálogo!$I$2:$I$648,"&lt;&gt;ausente",Catálogo!$M$2:$M$648,"completa",Catálogo!$L$2:$L$648,"*area*",Catálogo!$Q$2:$Q$648,{1,2,3,4,5,6,7,8,9})&gt;0,0),0)),"; "&amp;LOWER(INDEX(Niveles!$C$2:$C$10,IFERROR(MATCH(TRUE,COUNTIFS(Catálogo!$J$2:$J$648,"*"&amp;$A14&amp;"*",Catálogo!$I$2:$I$648,"&lt;&gt;ausente",Catálogo!$M$2:$M$648,"parcial",Catálogo!$L$2:$L$648,"*area*",Catálogo!$Q$2:$Q$648,{1,2,3,4,5,6,7,8,9})&gt;0,0),0)))&amp;" (parcial)",""),IF(IFERROR(MATCH(TRUE,COUNTIFS(Catálogo!$J$2:$J$648,"*"&amp;$A14&amp;"*",Catálogo!$I$2:$I$648,"&lt;&gt;ausente",Catálogo!$M$2:$M$648,"parcial",Catálogo!$L$2:$L$648,"*area*",Catálogo!$Q$2:$Q$648,{1,2,3,4,5,6,7,8,9})&gt;0,0),0)&gt;0,INDEX(Niveles!$C$2:$C$10,IFERROR(MATCH(TRUE,COUNTIFS(Catálogo!$J$2:$J$648,"*"&amp;$A14&amp;"*",Catálogo!$I$2:$I$648,"&lt;&gt;ausente",Catálogo!$M$2:$M$648,"parcial",Catálogo!$L$2:$L$648,"*area*",Catálogo!$Q$2:$Q$648,{1,2,3,4,5,6,7,8,9})&gt;0,0),0))&amp;" (parcial)","—"))</f>
        <v>Distrito</v>
      </c>
      <c r="Q14" s="8" t="str">
        <f>IF(COUNTIFS(Cifras!$A$2:$A$399,$A14,Cifras!$E$2:$E$399,"Sí",Cifras!$F$2:$F$399,"Sí",Cifras!$D$2:$D$399,"distrito")&gt;0,"Distrito",IF(COUNTIFS(Cifras!$A$2:$A$399,$A14,Cifras!$E$2:$E$399,"Sí",Cifras!$F$2:$F$399,"Sí",Cifras!$D$2:$D$399,"comuna")&gt;0,"Comuna",IF(COUNTIFS(Cifras!$A$2:$A$399,$A14,Cifras!$E$2:$E$399,"Sí",Cifras!$F$2:$F$399,"Sí",Cifras!$D$2:$D$399,"partido")&gt;0,"Partido",IF(COUNTIFS(Cifras!$A$2:$A$399,$A14,Cifras!$E$2:$E$399,"Sí",Cifras!$F$2:$F$399,"Sí",Cifras!$D$2:$D$399,"departamento")&gt;0,"Departamento",IF(COUNTIFS(Cifras!$A$2:$A$399,$A14,Cifras!$E$2:$E$399,"Sí",Cifras!$F$2:$F$399,"Sí",Cifras!$D$2:$D$399,"provincia")&gt;0,"Provincia",IF(COUNTIFS(Cifras!$A$2:$A$399,$A14,Cifras!$E$2:$E$399,"Sí",Cifras!$F$2:$F$399,"Sí",Cifras!$D$2:$D$399,"region")&gt;0,"Región",IF(COUNTIFS(Cifras!$A$2:$A$399,$A14,Cifras!$E$2:$E$399,"Sí",Cifras!$F$2:$F$399,"Sí",Cifras!$D$2:$D$399,"pais")&gt;0,"País","—")))))))</f>
        <v>Departamento</v>
      </c>
      <c r="R14" s="9" t="str">
        <f>IF(IFERROR(MATCH(TRUE,COUNTIFS(Catálogo!$J$2:$J$648,"*"&amp;$A14&amp;"*",Catálogo!$I$2:$I$648,"&lt;&gt;ausente",Catálogo!$M$2:$M$648,"completa",Catálogo!$L$2:$L$648,"*area*",Catálogo!$L$2:$L$648,"*sexo*",Catálogo!$Q$2:$Q$648,{1,2,3,4,5,6,7,8,9})&gt;0,0),0)&gt;0,INDEX(Niveles!$C$2:$C$10,IFERROR(MATCH(TRUE,COUNTIFS(Catálogo!$J$2:$J$648,"*"&amp;$A14&amp;"*",Catálogo!$I$2:$I$648,"&lt;&gt;ausente",Catálogo!$M$2:$M$648,"completa",Catálogo!$L$2:$L$648,"*area*",Catálogo!$L$2:$L$648,"*sexo*",Catálogo!$Q$2:$Q$648,{1,2,3,4,5,6,7,8,9})&gt;0,0),0))&amp;IF(AND(IFERROR(MATCH(TRUE,COUNTIFS(Catálogo!$J$2:$J$648,"*"&amp;$A14&amp;"*",Catálogo!$I$2:$I$648,"&lt;&gt;ausente",Catálogo!$M$2:$M$648,"parcial",Catálogo!$L$2:$L$648,"*area*",Catálogo!$L$2:$L$648,"*sexo*",Catálogo!$Q$2:$Q$648,{1,2,3,4,5,6,7,8,9})&gt;0,0),0)&gt;0,IFERROR(MATCH(TRUE,COUNTIFS(Catálogo!$J$2:$J$648,"*"&amp;$A14&amp;"*",Catálogo!$I$2:$I$648,"&lt;&gt;ausente",Catálogo!$M$2:$M$648,"parcial",Catálogo!$L$2:$L$648,"*area*",Catálogo!$L$2:$L$648,"*sexo*",Catálogo!$Q$2:$Q$648,{1,2,3,4,5,6,7,8,9})&gt;0,0),0)&lt;IFERROR(MATCH(TRUE,COUNTIFS(Catálogo!$J$2:$J$648,"*"&amp;$A14&amp;"*",Catálogo!$I$2:$I$648,"&lt;&gt;ausente",Catálogo!$M$2:$M$648,"completa",Catálogo!$L$2:$L$648,"*area*",Catálogo!$L$2:$L$648,"*sexo*",Catálogo!$Q$2:$Q$648,{1,2,3,4,5,6,7,8,9})&gt;0,0),0)),"; "&amp;LOWER(INDEX(Niveles!$C$2:$C$10,IFERROR(MATCH(TRUE,COUNTIFS(Catálogo!$J$2:$J$648,"*"&amp;$A14&amp;"*",Catálogo!$I$2:$I$648,"&lt;&gt;ausente",Catálogo!$M$2:$M$648,"parcial",Catálogo!$L$2:$L$648,"*area*",Catálogo!$L$2:$L$648,"*sexo*",Catálogo!$Q$2:$Q$648,{1,2,3,4,5,6,7,8,9})&gt;0,0),0)))&amp;" (parcial)",""),IF(IFERROR(MATCH(TRUE,COUNTIFS(Catálogo!$J$2:$J$648,"*"&amp;$A14&amp;"*",Catálogo!$I$2:$I$648,"&lt;&gt;ausente",Catálogo!$M$2:$M$648,"parcial",Catálogo!$L$2:$L$648,"*area*",Catálogo!$L$2:$L$648,"*sexo*",Catálogo!$Q$2:$Q$648,{1,2,3,4,5,6,7,8,9})&gt;0,0),0)&gt;0,INDEX(Niveles!$C$2:$C$10,IFERROR(MATCH(TRUE,COUNTIFS(Catálogo!$J$2:$J$648,"*"&amp;$A14&amp;"*",Catálogo!$I$2:$I$648,"&lt;&gt;ausente",Catálogo!$M$2:$M$648,"parcial",Catálogo!$L$2:$L$648,"*area*",Catálogo!$L$2:$L$648,"*sexo*",Catálogo!$Q$2:$Q$648,{1,2,3,4,5,6,7,8,9})&gt;0,0),0))&amp;" (parcial)","—"))</f>
        <v>Distrito</v>
      </c>
      <c r="S14" s="8" t="str">
        <f>IF(COUNTIFS(Cifras!$A$2:$A$399,$A14,Cifras!$F$2:$F$399,"Sí",Cifras!$G$2:$G$399,"Sí",Cifras!$D$2:$D$399,"distrito")&gt;0,"Distrito",IF(COUNTIFS(Cifras!$A$2:$A$399,$A14,Cifras!$F$2:$F$399,"Sí",Cifras!$G$2:$G$399,"Sí",Cifras!$D$2:$D$399,"comuna")&gt;0,"Comuna",IF(COUNTIFS(Cifras!$A$2:$A$399,$A14,Cifras!$F$2:$F$399,"Sí",Cifras!$G$2:$G$399,"Sí",Cifras!$D$2:$D$399,"partido")&gt;0,"Partido",IF(COUNTIFS(Cifras!$A$2:$A$399,$A14,Cifras!$F$2:$F$399,"Sí",Cifras!$G$2:$G$399,"Sí",Cifras!$D$2:$D$399,"departamento")&gt;0,"Departamento",IF(COUNTIFS(Cifras!$A$2:$A$399,$A14,Cifras!$F$2:$F$399,"Sí",Cifras!$G$2:$G$399,"Sí",Cifras!$D$2:$D$399,"provincia")&gt;0,"Provincia",IF(COUNTIFS(Cifras!$A$2:$A$399,$A14,Cifras!$F$2:$F$399,"Sí",Cifras!$G$2:$G$399,"Sí",Cifras!$D$2:$D$399,"region")&gt;0,"Región",IF(COUNTIFS(Cifras!$A$2:$A$399,$A14,Cifras!$F$2:$F$399,"Sí",Cifras!$G$2:$G$399,"Sí",Cifras!$D$2:$D$399,"pais")&gt;0,"País","—")))))))</f>
        <v>Departamento</v>
      </c>
      <c r="T14" s="9" t="str">
        <f>IF(IFERROR(MATCH(TRUE,COUNTIFS(Catálogo!$J$2:$J$648,"*"&amp;$A14&amp;"*",Catálogo!$I$2:$I$648,"&lt;&gt;ausente",Catálogo!$M$2:$M$648,"completa",Catálogo!$L$2:$L$648,"*sexo*",Catálogo!$L$2:$L$648,"*edad*",Catálogo!$Q$2:$Q$648,{1,2,3,4,5,6,7,8,9})&gt;0,0),0)&gt;0,INDEX(Niveles!$C$2:$C$10,IFERROR(MATCH(TRUE,COUNTIFS(Catálogo!$J$2:$J$648,"*"&amp;$A14&amp;"*",Catálogo!$I$2:$I$648,"&lt;&gt;ausente",Catálogo!$M$2:$M$648,"completa",Catálogo!$L$2:$L$648,"*sexo*",Catálogo!$L$2:$L$648,"*edad*",Catálogo!$Q$2:$Q$648,{1,2,3,4,5,6,7,8,9})&gt;0,0),0))&amp;IF(AND(IFERROR(MATCH(TRUE,COUNTIFS(Catálogo!$J$2:$J$648,"*"&amp;$A14&amp;"*",Catálogo!$I$2:$I$648,"&lt;&gt;ausente",Catálogo!$M$2:$M$648,"parcial",Catálogo!$L$2:$L$648,"*sexo*",Catálogo!$L$2:$L$648,"*edad*",Catálogo!$Q$2:$Q$648,{1,2,3,4,5,6,7,8,9})&gt;0,0),0)&gt;0,IFERROR(MATCH(TRUE,COUNTIFS(Catálogo!$J$2:$J$648,"*"&amp;$A14&amp;"*",Catálogo!$I$2:$I$648,"&lt;&gt;ausente",Catálogo!$M$2:$M$648,"parcial",Catálogo!$L$2:$L$648,"*sexo*",Catálogo!$L$2:$L$648,"*edad*",Catálogo!$Q$2:$Q$648,{1,2,3,4,5,6,7,8,9})&gt;0,0),0)&lt;IFERROR(MATCH(TRUE,COUNTIFS(Catálogo!$J$2:$J$648,"*"&amp;$A14&amp;"*",Catálogo!$I$2:$I$648,"&lt;&gt;ausente",Catálogo!$M$2:$M$648,"completa",Catálogo!$L$2:$L$648,"*sexo*",Catálogo!$L$2:$L$648,"*edad*",Catálogo!$Q$2:$Q$648,{1,2,3,4,5,6,7,8,9})&gt;0,0),0)),"; "&amp;LOWER(INDEX(Niveles!$C$2:$C$10,IFERROR(MATCH(TRUE,COUNTIFS(Catálogo!$J$2:$J$648,"*"&amp;$A14&amp;"*",Catálogo!$I$2:$I$648,"&lt;&gt;ausente",Catálogo!$M$2:$M$648,"parcial",Catálogo!$L$2:$L$648,"*sexo*",Catálogo!$L$2:$L$648,"*edad*",Catálogo!$Q$2:$Q$648,{1,2,3,4,5,6,7,8,9})&gt;0,0),0)))&amp;" (parcial)",""),IF(IFERROR(MATCH(TRUE,COUNTIFS(Catálogo!$J$2:$J$648,"*"&amp;$A14&amp;"*",Catálogo!$I$2:$I$648,"&lt;&gt;ausente",Catálogo!$M$2:$M$648,"parcial",Catálogo!$L$2:$L$648,"*sexo*",Catálogo!$L$2:$L$648,"*edad*",Catálogo!$Q$2:$Q$648,{1,2,3,4,5,6,7,8,9})&gt;0,0),0)&gt;0,INDEX(Niveles!$C$2:$C$10,IFERROR(MATCH(TRUE,COUNTIFS(Catálogo!$J$2:$J$648,"*"&amp;$A14&amp;"*",Catálogo!$I$2:$I$648,"&lt;&gt;ausente",Catálogo!$M$2:$M$648,"parcial",Catálogo!$L$2:$L$648,"*sexo*",Catálogo!$L$2:$L$648,"*edad*",Catálogo!$Q$2:$Q$648,{1,2,3,4,5,6,7,8,9})&gt;0,0),0))&amp;" (parcial)","—"))</f>
        <v>Departamento</v>
      </c>
      <c r="U14" s="7">
        <f>SUMIFS(Cifras!$J$2:$J$399,Cifras!$A$2:$A$399,$A14)</f>
        <v>17</v>
      </c>
      <c r="V14" s="14" t="s">
        <v>44</v>
      </c>
      <c r="W14" s="11" t="s">
        <v>57</v>
      </c>
      <c r="X14" s="11" t="s">
        <v>58</v>
      </c>
    </row>
    <row r="15" spans="1:24" ht="51" x14ac:dyDescent="0.25">
      <c r="A15" s="5">
        <v>1930</v>
      </c>
      <c r="B15" s="6" t="s">
        <v>59</v>
      </c>
      <c r="C15" s="7">
        <v>1025</v>
      </c>
      <c r="D15" s="7">
        <f>COUNTIFS(Catálogo!$B$2:$B$648,$A15)</f>
        <v>24</v>
      </c>
      <c r="E15" s="7">
        <f>COUNTIFS(Catálogo!$B$2:$B$648,$A15,Catálogo!$F$2:$F$648,"cuadro")</f>
        <v>16</v>
      </c>
      <c r="F15" s="7">
        <f>COUNTIFS(Catálogo!$B$2:$B$648,$A15,Catálogo!$F$2:$F$648,"bloque")</f>
        <v>0</v>
      </c>
      <c r="G15" s="7">
        <f>COUNTIFS(Catálogo!$B$2:$B$648,$A15,Catálogo!$F$2:$F$648,"texto")</f>
        <v>8</v>
      </c>
      <c r="H15" s="7">
        <f>COUNTIFS(Catálogo!$B$2:$B$648,$A15,Catálogo!$I$2:$I$648,"verificada")</f>
        <v>4</v>
      </c>
      <c r="I15" s="7">
        <f>COUNTIFS(Catálogo!$B$2:$B$648,$A15,Catálogo!$I$2:$I$648,"estimada")</f>
        <v>20</v>
      </c>
      <c r="J15" s="7">
        <f>COUNTIFS(Catálogo!$B$2:$B$648,$A15,Catálogo!$I$2:$I$648,"desconocida")+COUNTIFS(Catálogo!$B$2:$B$648,$A15,Catálogo!$I$2:$I$648,"ausente")</f>
        <v>0</v>
      </c>
      <c r="K15" s="7">
        <f>COUNTIFS(Catálogo!$B$2:$B$648,$A15,Catálogo!$O$2:$O$648,"transcrito")</f>
        <v>3</v>
      </c>
      <c r="L15" s="7">
        <f>SUMIFS(Cifras!$H$2:$H$399,Cifras!$A$2:$A$399,$A15)</f>
        <v>8488</v>
      </c>
      <c r="M15" s="8" t="str">
        <f>IF(COUNTIFS(Cifras!$A$2:$A$399,$A15,Cifras!$D$2:$D$399,"distrito")&gt;0,"Distrito",IF(COUNTIFS(Cifras!$A$2:$A$399,$A15,Cifras!$D$2:$D$399,"comuna")&gt;0,"Comuna",IF(COUNTIFS(Cifras!$A$2:$A$399,$A15,Cifras!$D$2:$D$399,"partido")&gt;0,"Partido",IF(COUNTIFS(Cifras!$A$2:$A$399,$A15,Cifras!$D$2:$D$399,"departamento")&gt;0,"Departamento",IF(COUNTIFS(Cifras!$A$2:$A$399,$A15,Cifras!$D$2:$D$399,"provincia")&gt;0,"Provincia",IF(COUNTIFS(Cifras!$A$2:$A$399,$A15,Cifras!$D$2:$D$399,"region")&gt;0,"Región",IF(COUNTIFS(Cifras!$A$2:$A$399,$A15,Cifras!$D$2:$D$399,"pais")&gt;0,"País","—")))))))</f>
        <v>Comuna</v>
      </c>
      <c r="N15" s="9" t="str">
        <f>IF(IFERROR(MATCH(TRUE,COUNTIFS(Catálogo!$J$2:$J$648,"*"&amp;$A15&amp;"*",Catálogo!$I$2:$I$648,"&lt;&gt;ausente",Catálogo!$M$2:$M$648,"completa",Catálogo!$Q$2:$Q$648,{1,2,3,4,5,6,7,8,9})&gt;0,0),0)&gt;0,INDEX(Niveles!$C$2:$C$10,IFERROR(MATCH(TRUE,COUNTIFS(Catálogo!$J$2:$J$648,"*"&amp;$A15&amp;"*",Catálogo!$I$2:$I$648,"&lt;&gt;ausente",Catálogo!$M$2:$M$648,"completa",Catálogo!$Q$2:$Q$648,{1,2,3,4,5,6,7,8,9})&gt;0,0),0))&amp;IF(AND(IFERROR(MATCH(TRUE,COUNTIFS(Catálogo!$J$2:$J$648,"*"&amp;$A15&amp;"*",Catálogo!$I$2:$I$648,"&lt;&gt;ausente",Catálogo!$M$2:$M$648,"parcial",Catálogo!$Q$2:$Q$648,{1,2,3,4,5,6,7,8,9})&gt;0,0),0)&gt;0,IFERROR(MATCH(TRUE,COUNTIFS(Catálogo!$J$2:$J$648,"*"&amp;$A15&amp;"*",Catálogo!$I$2:$I$648,"&lt;&gt;ausente",Catálogo!$M$2:$M$648,"parcial",Catálogo!$Q$2:$Q$648,{1,2,3,4,5,6,7,8,9})&gt;0,0),0)&lt;IFERROR(MATCH(TRUE,COUNTIFS(Catálogo!$J$2:$J$648,"*"&amp;$A15&amp;"*",Catálogo!$I$2:$I$648,"&lt;&gt;ausente",Catálogo!$M$2:$M$648,"completa",Catálogo!$Q$2:$Q$648,{1,2,3,4,5,6,7,8,9})&gt;0,0),0)),"; "&amp;LOWER(INDEX(Niveles!$C$2:$C$10,IFERROR(MATCH(TRUE,COUNTIFS(Catálogo!$J$2:$J$648,"*"&amp;$A15&amp;"*",Catálogo!$I$2:$I$648,"&lt;&gt;ausente",Catálogo!$M$2:$M$648,"parcial",Catálogo!$Q$2:$Q$648,{1,2,3,4,5,6,7,8,9})&gt;0,0),0)))&amp;" (parcial)",""),IF(IFERROR(MATCH(TRUE,COUNTIFS(Catálogo!$J$2:$J$648,"*"&amp;$A15&amp;"*",Catálogo!$I$2:$I$648,"&lt;&gt;ausente",Catálogo!$M$2:$M$648,"parcial",Catálogo!$Q$2:$Q$648,{1,2,3,4,5,6,7,8,9})&gt;0,0),0)&gt;0,INDEX(Niveles!$C$2:$C$10,IFERROR(MATCH(TRUE,COUNTIFS(Catálogo!$J$2:$J$648,"*"&amp;$A15&amp;"*",Catálogo!$I$2:$I$648,"&lt;&gt;ausente",Catálogo!$M$2:$M$648,"parcial",Catálogo!$Q$2:$Q$648,{1,2,3,4,5,6,7,8,9})&gt;0,0),0))&amp;" (parcial)","—"))</f>
        <v>Entidad</v>
      </c>
      <c r="O15" s="8" t="str">
        <f>IF(COUNTIFS(Cifras!$A$2:$A$399,$A15,Cifras!$E$2:$E$399,"Sí",Cifras!$D$2:$D$399,"distrito")&gt;0,"Distrito",IF(COUNTIFS(Cifras!$A$2:$A$399,$A15,Cifras!$E$2:$E$399,"Sí",Cifras!$D$2:$D$399,"comuna")&gt;0,"Comuna",IF(COUNTIFS(Cifras!$A$2:$A$399,$A15,Cifras!$E$2:$E$399,"Sí",Cifras!$D$2:$D$399,"partido")&gt;0,"Partido",IF(COUNTIFS(Cifras!$A$2:$A$399,$A15,Cifras!$E$2:$E$399,"Sí",Cifras!$D$2:$D$399,"departamento")&gt;0,"Departamento",IF(COUNTIFS(Cifras!$A$2:$A$399,$A15,Cifras!$E$2:$E$399,"Sí",Cifras!$D$2:$D$399,"provincia")&gt;0,"Provincia",IF(COUNTIFS(Cifras!$A$2:$A$399,$A15,Cifras!$E$2:$E$399,"Sí",Cifras!$D$2:$D$399,"region")&gt;0,"Región",IF(COUNTIFS(Cifras!$A$2:$A$399,$A15,Cifras!$E$2:$E$399,"Sí",Cifras!$D$2:$D$399,"pais")&gt;0,"País","—")))))))</f>
        <v>Comuna</v>
      </c>
      <c r="P15" s="9" t="str">
        <f>IF(IFERROR(MATCH(TRUE,COUNTIFS(Catálogo!$J$2:$J$648,"*"&amp;$A15&amp;"*",Catálogo!$I$2:$I$648,"&lt;&gt;ausente",Catálogo!$M$2:$M$648,"completa",Catálogo!$L$2:$L$648,"*area*",Catálogo!$Q$2:$Q$648,{1,2,3,4,5,6,7,8,9})&gt;0,0),0)&gt;0,INDEX(Niveles!$C$2:$C$10,IFERROR(MATCH(TRUE,COUNTIFS(Catálogo!$J$2:$J$648,"*"&amp;$A15&amp;"*",Catálogo!$I$2:$I$648,"&lt;&gt;ausente",Catálogo!$M$2:$M$648,"completa",Catálogo!$L$2:$L$648,"*area*",Catálogo!$Q$2:$Q$648,{1,2,3,4,5,6,7,8,9})&gt;0,0),0))&amp;IF(AND(IFERROR(MATCH(TRUE,COUNTIFS(Catálogo!$J$2:$J$648,"*"&amp;$A15&amp;"*",Catálogo!$I$2:$I$648,"&lt;&gt;ausente",Catálogo!$M$2:$M$648,"parcial",Catálogo!$L$2:$L$648,"*area*",Catálogo!$Q$2:$Q$648,{1,2,3,4,5,6,7,8,9})&gt;0,0),0)&gt;0,IFERROR(MATCH(TRUE,COUNTIFS(Catálogo!$J$2:$J$648,"*"&amp;$A15&amp;"*",Catálogo!$I$2:$I$648,"&lt;&gt;ausente",Catálogo!$M$2:$M$648,"parcial",Catálogo!$L$2:$L$648,"*area*",Catálogo!$Q$2:$Q$648,{1,2,3,4,5,6,7,8,9})&gt;0,0),0)&lt;IFERROR(MATCH(TRUE,COUNTIFS(Catálogo!$J$2:$J$648,"*"&amp;$A15&amp;"*",Catálogo!$I$2:$I$648,"&lt;&gt;ausente",Catálogo!$M$2:$M$648,"completa",Catálogo!$L$2:$L$648,"*area*",Catálogo!$Q$2:$Q$648,{1,2,3,4,5,6,7,8,9})&gt;0,0),0)),"; "&amp;LOWER(INDEX(Niveles!$C$2:$C$10,IFERROR(MATCH(TRUE,COUNTIFS(Catálogo!$J$2:$J$648,"*"&amp;$A15&amp;"*",Catálogo!$I$2:$I$648,"&lt;&gt;ausente",Catálogo!$M$2:$M$648,"parcial",Catálogo!$L$2:$L$648,"*area*",Catálogo!$Q$2:$Q$648,{1,2,3,4,5,6,7,8,9})&gt;0,0),0)))&amp;" (parcial)",""),IF(IFERROR(MATCH(TRUE,COUNTIFS(Catálogo!$J$2:$J$648,"*"&amp;$A15&amp;"*",Catálogo!$I$2:$I$648,"&lt;&gt;ausente",Catálogo!$M$2:$M$648,"parcial",Catálogo!$L$2:$L$648,"*area*",Catálogo!$Q$2:$Q$648,{1,2,3,4,5,6,7,8,9})&gt;0,0),0)&gt;0,INDEX(Niveles!$C$2:$C$10,IFERROR(MATCH(TRUE,COUNTIFS(Catálogo!$J$2:$J$648,"*"&amp;$A15&amp;"*",Catálogo!$I$2:$I$648,"&lt;&gt;ausente",Catálogo!$M$2:$M$648,"parcial",Catálogo!$L$2:$L$648,"*area*",Catálogo!$Q$2:$Q$648,{1,2,3,4,5,6,7,8,9})&gt;0,0),0))&amp;" (parcial)","—"))</f>
        <v>Comuna</v>
      </c>
      <c r="Q15" s="8" t="str">
        <f>IF(COUNTIFS(Cifras!$A$2:$A$399,$A15,Cifras!$E$2:$E$399,"Sí",Cifras!$F$2:$F$399,"Sí",Cifras!$D$2:$D$399,"distrito")&gt;0,"Distrito",IF(COUNTIFS(Cifras!$A$2:$A$399,$A15,Cifras!$E$2:$E$399,"Sí",Cifras!$F$2:$F$399,"Sí",Cifras!$D$2:$D$399,"comuna")&gt;0,"Comuna",IF(COUNTIFS(Cifras!$A$2:$A$399,$A15,Cifras!$E$2:$E$399,"Sí",Cifras!$F$2:$F$399,"Sí",Cifras!$D$2:$D$399,"partido")&gt;0,"Partido",IF(COUNTIFS(Cifras!$A$2:$A$399,$A15,Cifras!$E$2:$E$399,"Sí",Cifras!$F$2:$F$399,"Sí",Cifras!$D$2:$D$399,"departamento")&gt;0,"Departamento",IF(COUNTIFS(Cifras!$A$2:$A$399,$A15,Cifras!$E$2:$E$399,"Sí",Cifras!$F$2:$F$399,"Sí",Cifras!$D$2:$D$399,"provincia")&gt;0,"Provincia",IF(COUNTIFS(Cifras!$A$2:$A$399,$A15,Cifras!$E$2:$E$399,"Sí",Cifras!$F$2:$F$399,"Sí",Cifras!$D$2:$D$399,"region")&gt;0,"Región",IF(COUNTIFS(Cifras!$A$2:$A$399,$A15,Cifras!$E$2:$E$399,"Sí",Cifras!$F$2:$F$399,"Sí",Cifras!$D$2:$D$399,"pais")&gt;0,"País","—")))))))</f>
        <v>Comuna</v>
      </c>
      <c r="R15" s="9" t="str">
        <f>IF(IFERROR(MATCH(TRUE,COUNTIFS(Catálogo!$J$2:$J$648,"*"&amp;$A15&amp;"*",Catálogo!$I$2:$I$648,"&lt;&gt;ausente",Catálogo!$M$2:$M$648,"completa",Catálogo!$L$2:$L$648,"*area*",Catálogo!$L$2:$L$648,"*sexo*",Catálogo!$Q$2:$Q$648,{1,2,3,4,5,6,7,8,9})&gt;0,0),0)&gt;0,INDEX(Niveles!$C$2:$C$10,IFERROR(MATCH(TRUE,COUNTIFS(Catálogo!$J$2:$J$648,"*"&amp;$A15&amp;"*",Catálogo!$I$2:$I$648,"&lt;&gt;ausente",Catálogo!$M$2:$M$648,"completa",Catálogo!$L$2:$L$648,"*area*",Catálogo!$L$2:$L$648,"*sexo*",Catálogo!$Q$2:$Q$648,{1,2,3,4,5,6,7,8,9})&gt;0,0),0))&amp;IF(AND(IFERROR(MATCH(TRUE,COUNTIFS(Catálogo!$J$2:$J$648,"*"&amp;$A15&amp;"*",Catálogo!$I$2:$I$648,"&lt;&gt;ausente",Catálogo!$M$2:$M$648,"parcial",Catálogo!$L$2:$L$648,"*area*",Catálogo!$L$2:$L$648,"*sexo*",Catálogo!$Q$2:$Q$648,{1,2,3,4,5,6,7,8,9})&gt;0,0),0)&gt;0,IFERROR(MATCH(TRUE,COUNTIFS(Catálogo!$J$2:$J$648,"*"&amp;$A15&amp;"*",Catálogo!$I$2:$I$648,"&lt;&gt;ausente",Catálogo!$M$2:$M$648,"parcial",Catálogo!$L$2:$L$648,"*area*",Catálogo!$L$2:$L$648,"*sexo*",Catálogo!$Q$2:$Q$648,{1,2,3,4,5,6,7,8,9})&gt;0,0),0)&lt;IFERROR(MATCH(TRUE,COUNTIFS(Catálogo!$J$2:$J$648,"*"&amp;$A15&amp;"*",Catálogo!$I$2:$I$648,"&lt;&gt;ausente",Catálogo!$M$2:$M$648,"completa",Catálogo!$L$2:$L$648,"*area*",Catálogo!$L$2:$L$648,"*sexo*",Catálogo!$Q$2:$Q$648,{1,2,3,4,5,6,7,8,9})&gt;0,0),0)),"; "&amp;LOWER(INDEX(Niveles!$C$2:$C$10,IFERROR(MATCH(TRUE,COUNTIFS(Catálogo!$J$2:$J$648,"*"&amp;$A15&amp;"*",Catálogo!$I$2:$I$648,"&lt;&gt;ausente",Catálogo!$M$2:$M$648,"parcial",Catálogo!$L$2:$L$648,"*area*",Catálogo!$L$2:$L$648,"*sexo*",Catálogo!$Q$2:$Q$648,{1,2,3,4,5,6,7,8,9})&gt;0,0),0)))&amp;" (parcial)",""),IF(IFERROR(MATCH(TRUE,COUNTIFS(Catálogo!$J$2:$J$648,"*"&amp;$A15&amp;"*",Catálogo!$I$2:$I$648,"&lt;&gt;ausente",Catálogo!$M$2:$M$648,"parcial",Catálogo!$L$2:$L$648,"*area*",Catálogo!$L$2:$L$648,"*sexo*",Catálogo!$Q$2:$Q$648,{1,2,3,4,5,6,7,8,9})&gt;0,0),0)&gt;0,INDEX(Niveles!$C$2:$C$10,IFERROR(MATCH(TRUE,COUNTIFS(Catálogo!$J$2:$J$648,"*"&amp;$A15&amp;"*",Catálogo!$I$2:$I$648,"&lt;&gt;ausente",Catálogo!$M$2:$M$648,"parcial",Catálogo!$L$2:$L$648,"*area*",Catálogo!$L$2:$L$648,"*sexo*",Catálogo!$Q$2:$Q$648,{1,2,3,4,5,6,7,8,9})&gt;0,0),0))&amp;" (parcial)","—"))</f>
        <v>Comuna</v>
      </c>
      <c r="S15" s="8" t="str">
        <f>IF(COUNTIFS(Cifras!$A$2:$A$399,$A15,Cifras!$F$2:$F$399,"Sí",Cifras!$G$2:$G$399,"Sí",Cifras!$D$2:$D$399,"distrito")&gt;0,"Distrito",IF(COUNTIFS(Cifras!$A$2:$A$399,$A15,Cifras!$F$2:$F$399,"Sí",Cifras!$G$2:$G$399,"Sí",Cifras!$D$2:$D$399,"comuna")&gt;0,"Comuna",IF(COUNTIFS(Cifras!$A$2:$A$399,$A15,Cifras!$F$2:$F$399,"Sí",Cifras!$G$2:$G$399,"Sí",Cifras!$D$2:$D$399,"partido")&gt;0,"Partido",IF(COUNTIFS(Cifras!$A$2:$A$399,$A15,Cifras!$F$2:$F$399,"Sí",Cifras!$G$2:$G$399,"Sí",Cifras!$D$2:$D$399,"departamento")&gt;0,"Departamento",IF(COUNTIFS(Cifras!$A$2:$A$399,$A15,Cifras!$F$2:$F$399,"Sí",Cifras!$G$2:$G$399,"Sí",Cifras!$D$2:$D$399,"provincia")&gt;0,"Provincia",IF(COUNTIFS(Cifras!$A$2:$A$399,$A15,Cifras!$F$2:$F$399,"Sí",Cifras!$G$2:$G$399,"Sí",Cifras!$D$2:$D$399,"region")&gt;0,"Región",IF(COUNTIFS(Cifras!$A$2:$A$399,$A15,Cifras!$F$2:$F$399,"Sí",Cifras!$G$2:$G$399,"Sí",Cifras!$D$2:$D$399,"pais")&gt;0,"País","—")))))))</f>
        <v>Provincia</v>
      </c>
      <c r="T15" s="9" t="str">
        <f>IF(IFERROR(MATCH(TRUE,COUNTIFS(Catálogo!$J$2:$J$648,"*"&amp;$A15&amp;"*",Catálogo!$I$2:$I$648,"&lt;&gt;ausente",Catálogo!$M$2:$M$648,"completa",Catálogo!$L$2:$L$648,"*sexo*",Catálogo!$L$2:$L$648,"*edad*",Catálogo!$Q$2:$Q$648,{1,2,3,4,5,6,7,8,9})&gt;0,0),0)&gt;0,INDEX(Niveles!$C$2:$C$10,IFERROR(MATCH(TRUE,COUNTIFS(Catálogo!$J$2:$J$648,"*"&amp;$A15&amp;"*",Catálogo!$I$2:$I$648,"&lt;&gt;ausente",Catálogo!$M$2:$M$648,"completa",Catálogo!$L$2:$L$648,"*sexo*",Catálogo!$L$2:$L$648,"*edad*",Catálogo!$Q$2:$Q$648,{1,2,3,4,5,6,7,8,9})&gt;0,0),0))&amp;IF(AND(IFERROR(MATCH(TRUE,COUNTIFS(Catálogo!$J$2:$J$648,"*"&amp;$A15&amp;"*",Catálogo!$I$2:$I$648,"&lt;&gt;ausente",Catálogo!$M$2:$M$648,"parcial",Catálogo!$L$2:$L$648,"*sexo*",Catálogo!$L$2:$L$648,"*edad*",Catálogo!$Q$2:$Q$648,{1,2,3,4,5,6,7,8,9})&gt;0,0),0)&gt;0,IFERROR(MATCH(TRUE,COUNTIFS(Catálogo!$J$2:$J$648,"*"&amp;$A15&amp;"*",Catálogo!$I$2:$I$648,"&lt;&gt;ausente",Catálogo!$M$2:$M$648,"parcial",Catálogo!$L$2:$L$648,"*sexo*",Catálogo!$L$2:$L$648,"*edad*",Catálogo!$Q$2:$Q$648,{1,2,3,4,5,6,7,8,9})&gt;0,0),0)&lt;IFERROR(MATCH(TRUE,COUNTIFS(Catálogo!$J$2:$J$648,"*"&amp;$A15&amp;"*",Catálogo!$I$2:$I$648,"&lt;&gt;ausente",Catálogo!$M$2:$M$648,"completa",Catálogo!$L$2:$L$648,"*sexo*",Catálogo!$L$2:$L$648,"*edad*",Catálogo!$Q$2:$Q$648,{1,2,3,4,5,6,7,8,9})&gt;0,0),0)),"; "&amp;LOWER(INDEX(Niveles!$C$2:$C$10,IFERROR(MATCH(TRUE,COUNTIFS(Catálogo!$J$2:$J$648,"*"&amp;$A15&amp;"*",Catálogo!$I$2:$I$648,"&lt;&gt;ausente",Catálogo!$M$2:$M$648,"parcial",Catálogo!$L$2:$L$648,"*sexo*",Catálogo!$L$2:$L$648,"*edad*",Catálogo!$Q$2:$Q$648,{1,2,3,4,5,6,7,8,9})&gt;0,0),0)))&amp;" (parcial)",""),IF(IFERROR(MATCH(TRUE,COUNTIFS(Catálogo!$J$2:$J$648,"*"&amp;$A15&amp;"*",Catálogo!$I$2:$I$648,"&lt;&gt;ausente",Catálogo!$M$2:$M$648,"parcial",Catálogo!$L$2:$L$648,"*sexo*",Catálogo!$L$2:$L$648,"*edad*",Catálogo!$Q$2:$Q$648,{1,2,3,4,5,6,7,8,9})&gt;0,0),0)&gt;0,INDEX(Niveles!$C$2:$C$10,IFERROR(MATCH(TRUE,COUNTIFS(Catálogo!$J$2:$J$648,"*"&amp;$A15&amp;"*",Catálogo!$I$2:$I$648,"&lt;&gt;ausente",Catálogo!$M$2:$M$648,"parcial",Catálogo!$L$2:$L$648,"*sexo*",Catálogo!$L$2:$L$648,"*edad*",Catálogo!$Q$2:$Q$648,{1,2,3,4,5,6,7,8,9})&gt;0,0),0))&amp;" (parcial)","—"))</f>
        <v>Comuna</v>
      </c>
      <c r="U15" s="7">
        <f>SUMIFS(Cifras!$J$2:$J$399,Cifras!$A$2:$A$399,$A15)</f>
        <v>8</v>
      </c>
      <c r="V15" s="14" t="s">
        <v>44</v>
      </c>
      <c r="W15" s="11" t="s">
        <v>60</v>
      </c>
      <c r="X15" s="11" t="s">
        <v>61</v>
      </c>
    </row>
    <row r="16" spans="1:24" ht="51" x14ac:dyDescent="0.25">
      <c r="A16" s="5">
        <v>1940</v>
      </c>
      <c r="B16" s="6" t="s">
        <v>62</v>
      </c>
      <c r="C16" s="7">
        <v>361</v>
      </c>
      <c r="D16" s="7">
        <f>COUNTIFS(Catálogo!$B$2:$B$648,$A16)</f>
        <v>23</v>
      </c>
      <c r="E16" s="7">
        <f>COUNTIFS(Catálogo!$B$2:$B$648,$A16,Catálogo!$F$2:$F$648,"cuadro")</f>
        <v>21</v>
      </c>
      <c r="F16" s="7">
        <f>COUNTIFS(Catálogo!$B$2:$B$648,$A16,Catálogo!$F$2:$F$648,"bloque")</f>
        <v>0</v>
      </c>
      <c r="G16" s="7">
        <f>COUNTIFS(Catálogo!$B$2:$B$648,$A16,Catálogo!$F$2:$F$648,"texto")</f>
        <v>2</v>
      </c>
      <c r="H16" s="7">
        <f>COUNTIFS(Catálogo!$B$2:$B$648,$A16,Catálogo!$I$2:$I$648,"verificada")</f>
        <v>4</v>
      </c>
      <c r="I16" s="7">
        <f>COUNTIFS(Catálogo!$B$2:$B$648,$A16,Catálogo!$I$2:$I$648,"estimada")</f>
        <v>17</v>
      </c>
      <c r="J16" s="7">
        <f>COUNTIFS(Catálogo!$B$2:$B$648,$A16,Catálogo!$I$2:$I$648,"desconocida")+COUNTIFS(Catálogo!$B$2:$B$648,$A16,Catálogo!$I$2:$I$648,"ausente")</f>
        <v>2</v>
      </c>
      <c r="K16" s="7">
        <f>COUNTIFS(Catálogo!$B$2:$B$648,$A16,Catálogo!$O$2:$O$648,"transcrito")</f>
        <v>2</v>
      </c>
      <c r="L16" s="7">
        <f>SUMIFS(Cifras!$H$2:$H$399,Cifras!$A$2:$A$399,$A16)</f>
        <v>4892</v>
      </c>
      <c r="M16" s="8" t="str">
        <f>IF(COUNTIFS(Cifras!$A$2:$A$399,$A16,Cifras!$D$2:$D$399,"distrito")&gt;0,"Distrito",IF(COUNTIFS(Cifras!$A$2:$A$399,$A16,Cifras!$D$2:$D$399,"comuna")&gt;0,"Comuna",IF(COUNTIFS(Cifras!$A$2:$A$399,$A16,Cifras!$D$2:$D$399,"partido")&gt;0,"Partido",IF(COUNTIFS(Cifras!$A$2:$A$399,$A16,Cifras!$D$2:$D$399,"departamento")&gt;0,"Departamento",IF(COUNTIFS(Cifras!$A$2:$A$399,$A16,Cifras!$D$2:$D$399,"provincia")&gt;0,"Provincia",IF(COUNTIFS(Cifras!$A$2:$A$399,$A16,Cifras!$D$2:$D$399,"region")&gt;0,"Región",IF(COUNTIFS(Cifras!$A$2:$A$399,$A16,Cifras!$D$2:$D$399,"pais")&gt;0,"País","—")))))))</f>
        <v>Comuna</v>
      </c>
      <c r="N16" s="9" t="str">
        <f>IF(IFERROR(MATCH(TRUE,COUNTIFS(Catálogo!$J$2:$J$648,"*"&amp;$A16&amp;"*",Catálogo!$I$2:$I$648,"&lt;&gt;ausente",Catálogo!$M$2:$M$648,"completa",Catálogo!$Q$2:$Q$648,{1,2,3,4,5,6,7,8,9})&gt;0,0),0)&gt;0,INDEX(Niveles!$C$2:$C$10,IFERROR(MATCH(TRUE,COUNTIFS(Catálogo!$J$2:$J$648,"*"&amp;$A16&amp;"*",Catálogo!$I$2:$I$648,"&lt;&gt;ausente",Catálogo!$M$2:$M$648,"completa",Catálogo!$Q$2:$Q$648,{1,2,3,4,5,6,7,8,9})&gt;0,0),0))&amp;IF(AND(IFERROR(MATCH(TRUE,COUNTIFS(Catálogo!$J$2:$J$648,"*"&amp;$A16&amp;"*",Catálogo!$I$2:$I$648,"&lt;&gt;ausente",Catálogo!$M$2:$M$648,"parcial",Catálogo!$Q$2:$Q$648,{1,2,3,4,5,6,7,8,9})&gt;0,0),0)&gt;0,IFERROR(MATCH(TRUE,COUNTIFS(Catálogo!$J$2:$J$648,"*"&amp;$A16&amp;"*",Catálogo!$I$2:$I$648,"&lt;&gt;ausente",Catálogo!$M$2:$M$648,"parcial",Catálogo!$Q$2:$Q$648,{1,2,3,4,5,6,7,8,9})&gt;0,0),0)&lt;IFERROR(MATCH(TRUE,COUNTIFS(Catálogo!$J$2:$J$648,"*"&amp;$A16&amp;"*",Catálogo!$I$2:$I$648,"&lt;&gt;ausente",Catálogo!$M$2:$M$648,"completa",Catálogo!$Q$2:$Q$648,{1,2,3,4,5,6,7,8,9})&gt;0,0),0)),"; "&amp;LOWER(INDEX(Niveles!$C$2:$C$10,IFERROR(MATCH(TRUE,COUNTIFS(Catálogo!$J$2:$J$648,"*"&amp;$A16&amp;"*",Catálogo!$I$2:$I$648,"&lt;&gt;ausente",Catálogo!$M$2:$M$648,"parcial",Catálogo!$Q$2:$Q$648,{1,2,3,4,5,6,7,8,9})&gt;0,0),0)))&amp;" (parcial)",""),IF(IFERROR(MATCH(TRUE,COUNTIFS(Catálogo!$J$2:$J$648,"*"&amp;$A16&amp;"*",Catálogo!$I$2:$I$648,"&lt;&gt;ausente",Catálogo!$M$2:$M$648,"parcial",Catálogo!$Q$2:$Q$648,{1,2,3,4,5,6,7,8,9})&gt;0,0),0)&gt;0,INDEX(Niveles!$C$2:$C$10,IFERROR(MATCH(TRUE,COUNTIFS(Catálogo!$J$2:$J$648,"*"&amp;$A16&amp;"*",Catálogo!$I$2:$I$648,"&lt;&gt;ausente",Catálogo!$M$2:$M$648,"parcial",Catálogo!$Q$2:$Q$648,{1,2,3,4,5,6,7,8,9})&gt;0,0),0))&amp;" (parcial)","—"))</f>
        <v>Distrito</v>
      </c>
      <c r="O16" s="8" t="str">
        <f>IF(COUNTIFS(Cifras!$A$2:$A$399,$A16,Cifras!$E$2:$E$399,"Sí",Cifras!$D$2:$D$399,"distrito")&gt;0,"Distrito",IF(COUNTIFS(Cifras!$A$2:$A$399,$A16,Cifras!$E$2:$E$399,"Sí",Cifras!$D$2:$D$399,"comuna")&gt;0,"Comuna",IF(COUNTIFS(Cifras!$A$2:$A$399,$A16,Cifras!$E$2:$E$399,"Sí",Cifras!$D$2:$D$399,"partido")&gt;0,"Partido",IF(COUNTIFS(Cifras!$A$2:$A$399,$A16,Cifras!$E$2:$E$399,"Sí",Cifras!$D$2:$D$399,"departamento")&gt;0,"Departamento",IF(COUNTIFS(Cifras!$A$2:$A$399,$A16,Cifras!$E$2:$E$399,"Sí",Cifras!$D$2:$D$399,"provincia")&gt;0,"Provincia",IF(COUNTIFS(Cifras!$A$2:$A$399,$A16,Cifras!$E$2:$E$399,"Sí",Cifras!$D$2:$D$399,"region")&gt;0,"Región",IF(COUNTIFS(Cifras!$A$2:$A$399,$A16,Cifras!$E$2:$E$399,"Sí",Cifras!$D$2:$D$399,"pais")&gt;0,"País","—")))))))</f>
        <v>Comuna</v>
      </c>
      <c r="P16" s="9" t="str">
        <f>IF(IFERROR(MATCH(TRUE,COUNTIFS(Catálogo!$J$2:$J$648,"*"&amp;$A16&amp;"*",Catálogo!$I$2:$I$648,"&lt;&gt;ausente",Catálogo!$M$2:$M$648,"completa",Catálogo!$L$2:$L$648,"*area*",Catálogo!$Q$2:$Q$648,{1,2,3,4,5,6,7,8,9})&gt;0,0),0)&gt;0,INDEX(Niveles!$C$2:$C$10,IFERROR(MATCH(TRUE,COUNTIFS(Catálogo!$J$2:$J$648,"*"&amp;$A16&amp;"*",Catálogo!$I$2:$I$648,"&lt;&gt;ausente",Catálogo!$M$2:$M$648,"completa",Catálogo!$L$2:$L$648,"*area*",Catálogo!$Q$2:$Q$648,{1,2,3,4,5,6,7,8,9})&gt;0,0),0))&amp;IF(AND(IFERROR(MATCH(TRUE,COUNTIFS(Catálogo!$J$2:$J$648,"*"&amp;$A16&amp;"*",Catálogo!$I$2:$I$648,"&lt;&gt;ausente",Catálogo!$M$2:$M$648,"parcial",Catálogo!$L$2:$L$648,"*area*",Catálogo!$Q$2:$Q$648,{1,2,3,4,5,6,7,8,9})&gt;0,0),0)&gt;0,IFERROR(MATCH(TRUE,COUNTIFS(Catálogo!$J$2:$J$648,"*"&amp;$A16&amp;"*",Catálogo!$I$2:$I$648,"&lt;&gt;ausente",Catálogo!$M$2:$M$648,"parcial",Catálogo!$L$2:$L$648,"*area*",Catálogo!$Q$2:$Q$648,{1,2,3,4,5,6,7,8,9})&gt;0,0),0)&lt;IFERROR(MATCH(TRUE,COUNTIFS(Catálogo!$J$2:$J$648,"*"&amp;$A16&amp;"*",Catálogo!$I$2:$I$648,"&lt;&gt;ausente",Catálogo!$M$2:$M$648,"completa",Catálogo!$L$2:$L$648,"*area*",Catálogo!$Q$2:$Q$648,{1,2,3,4,5,6,7,8,9})&gt;0,0),0)),"; "&amp;LOWER(INDEX(Niveles!$C$2:$C$10,IFERROR(MATCH(TRUE,COUNTIFS(Catálogo!$J$2:$J$648,"*"&amp;$A16&amp;"*",Catálogo!$I$2:$I$648,"&lt;&gt;ausente",Catálogo!$M$2:$M$648,"parcial",Catálogo!$L$2:$L$648,"*area*",Catálogo!$Q$2:$Q$648,{1,2,3,4,5,6,7,8,9})&gt;0,0),0)))&amp;" (parcial)",""),IF(IFERROR(MATCH(TRUE,COUNTIFS(Catálogo!$J$2:$J$648,"*"&amp;$A16&amp;"*",Catálogo!$I$2:$I$648,"&lt;&gt;ausente",Catálogo!$M$2:$M$648,"parcial",Catálogo!$L$2:$L$648,"*area*",Catálogo!$Q$2:$Q$648,{1,2,3,4,5,6,7,8,9})&gt;0,0),0)&gt;0,INDEX(Niveles!$C$2:$C$10,IFERROR(MATCH(TRUE,COUNTIFS(Catálogo!$J$2:$J$648,"*"&amp;$A16&amp;"*",Catálogo!$I$2:$I$648,"&lt;&gt;ausente",Catálogo!$M$2:$M$648,"parcial",Catálogo!$L$2:$L$648,"*area*",Catálogo!$Q$2:$Q$648,{1,2,3,4,5,6,7,8,9})&gt;0,0),0))&amp;" (parcial)","—"))</f>
        <v>Distrito</v>
      </c>
      <c r="Q16" s="8" t="str">
        <f>IF(COUNTIFS(Cifras!$A$2:$A$399,$A16,Cifras!$E$2:$E$399,"Sí",Cifras!$F$2:$F$399,"Sí",Cifras!$D$2:$D$399,"distrito")&gt;0,"Distrito",IF(COUNTIFS(Cifras!$A$2:$A$399,$A16,Cifras!$E$2:$E$399,"Sí",Cifras!$F$2:$F$399,"Sí",Cifras!$D$2:$D$399,"comuna")&gt;0,"Comuna",IF(COUNTIFS(Cifras!$A$2:$A$399,$A16,Cifras!$E$2:$E$399,"Sí",Cifras!$F$2:$F$399,"Sí",Cifras!$D$2:$D$399,"partido")&gt;0,"Partido",IF(COUNTIFS(Cifras!$A$2:$A$399,$A16,Cifras!$E$2:$E$399,"Sí",Cifras!$F$2:$F$399,"Sí",Cifras!$D$2:$D$399,"departamento")&gt;0,"Departamento",IF(COUNTIFS(Cifras!$A$2:$A$399,$A16,Cifras!$E$2:$E$399,"Sí",Cifras!$F$2:$F$399,"Sí",Cifras!$D$2:$D$399,"provincia")&gt;0,"Provincia",IF(COUNTIFS(Cifras!$A$2:$A$399,$A16,Cifras!$E$2:$E$399,"Sí",Cifras!$F$2:$F$399,"Sí",Cifras!$D$2:$D$399,"region")&gt;0,"Región",IF(COUNTIFS(Cifras!$A$2:$A$399,$A16,Cifras!$E$2:$E$399,"Sí",Cifras!$F$2:$F$399,"Sí",Cifras!$D$2:$D$399,"pais")&gt;0,"País","—")))))))</f>
        <v>Comuna</v>
      </c>
      <c r="R16" s="9" t="str">
        <f>IF(IFERROR(MATCH(TRUE,COUNTIFS(Catálogo!$J$2:$J$648,"*"&amp;$A16&amp;"*",Catálogo!$I$2:$I$648,"&lt;&gt;ausente",Catálogo!$M$2:$M$648,"completa",Catálogo!$L$2:$L$648,"*area*",Catálogo!$L$2:$L$648,"*sexo*",Catálogo!$Q$2:$Q$648,{1,2,3,4,5,6,7,8,9})&gt;0,0),0)&gt;0,INDEX(Niveles!$C$2:$C$10,IFERROR(MATCH(TRUE,COUNTIFS(Catálogo!$J$2:$J$648,"*"&amp;$A16&amp;"*",Catálogo!$I$2:$I$648,"&lt;&gt;ausente",Catálogo!$M$2:$M$648,"completa",Catálogo!$L$2:$L$648,"*area*",Catálogo!$L$2:$L$648,"*sexo*",Catálogo!$Q$2:$Q$648,{1,2,3,4,5,6,7,8,9})&gt;0,0),0))&amp;IF(AND(IFERROR(MATCH(TRUE,COUNTIFS(Catálogo!$J$2:$J$648,"*"&amp;$A16&amp;"*",Catálogo!$I$2:$I$648,"&lt;&gt;ausente",Catálogo!$M$2:$M$648,"parcial",Catálogo!$L$2:$L$648,"*area*",Catálogo!$L$2:$L$648,"*sexo*",Catálogo!$Q$2:$Q$648,{1,2,3,4,5,6,7,8,9})&gt;0,0),0)&gt;0,IFERROR(MATCH(TRUE,COUNTIFS(Catálogo!$J$2:$J$648,"*"&amp;$A16&amp;"*",Catálogo!$I$2:$I$648,"&lt;&gt;ausente",Catálogo!$M$2:$M$648,"parcial",Catálogo!$L$2:$L$648,"*area*",Catálogo!$L$2:$L$648,"*sexo*",Catálogo!$Q$2:$Q$648,{1,2,3,4,5,6,7,8,9})&gt;0,0),0)&lt;IFERROR(MATCH(TRUE,COUNTIFS(Catálogo!$J$2:$J$648,"*"&amp;$A16&amp;"*",Catálogo!$I$2:$I$648,"&lt;&gt;ausente",Catálogo!$M$2:$M$648,"completa",Catálogo!$L$2:$L$648,"*area*",Catálogo!$L$2:$L$648,"*sexo*",Catálogo!$Q$2:$Q$648,{1,2,3,4,5,6,7,8,9})&gt;0,0),0)),"; "&amp;LOWER(INDEX(Niveles!$C$2:$C$10,IFERROR(MATCH(TRUE,COUNTIFS(Catálogo!$J$2:$J$648,"*"&amp;$A16&amp;"*",Catálogo!$I$2:$I$648,"&lt;&gt;ausente",Catálogo!$M$2:$M$648,"parcial",Catálogo!$L$2:$L$648,"*area*",Catálogo!$L$2:$L$648,"*sexo*",Catálogo!$Q$2:$Q$648,{1,2,3,4,5,6,7,8,9})&gt;0,0),0)))&amp;" (parcial)",""),IF(IFERROR(MATCH(TRUE,COUNTIFS(Catálogo!$J$2:$J$648,"*"&amp;$A16&amp;"*",Catálogo!$I$2:$I$648,"&lt;&gt;ausente",Catálogo!$M$2:$M$648,"parcial",Catálogo!$L$2:$L$648,"*area*",Catálogo!$L$2:$L$648,"*sexo*",Catálogo!$Q$2:$Q$648,{1,2,3,4,5,6,7,8,9})&gt;0,0),0)&gt;0,INDEX(Niveles!$C$2:$C$10,IFERROR(MATCH(TRUE,COUNTIFS(Catálogo!$J$2:$J$648,"*"&amp;$A16&amp;"*",Catálogo!$I$2:$I$648,"&lt;&gt;ausente",Catálogo!$M$2:$M$648,"parcial",Catálogo!$L$2:$L$648,"*area*",Catálogo!$L$2:$L$648,"*sexo*",Catálogo!$Q$2:$Q$648,{1,2,3,4,5,6,7,8,9})&gt;0,0),0))&amp;" (parcial)","—"))</f>
        <v>Distrito</v>
      </c>
      <c r="S16" s="8" t="str">
        <f>IF(COUNTIFS(Cifras!$A$2:$A$399,$A16,Cifras!$F$2:$F$399,"Sí",Cifras!$G$2:$G$399,"Sí",Cifras!$D$2:$D$399,"distrito")&gt;0,"Distrito",IF(COUNTIFS(Cifras!$A$2:$A$399,$A16,Cifras!$F$2:$F$399,"Sí",Cifras!$G$2:$G$399,"Sí",Cifras!$D$2:$D$399,"comuna")&gt;0,"Comuna",IF(COUNTIFS(Cifras!$A$2:$A$399,$A16,Cifras!$F$2:$F$399,"Sí",Cifras!$G$2:$G$399,"Sí",Cifras!$D$2:$D$399,"partido")&gt;0,"Partido",IF(COUNTIFS(Cifras!$A$2:$A$399,$A16,Cifras!$F$2:$F$399,"Sí",Cifras!$G$2:$G$399,"Sí",Cifras!$D$2:$D$399,"departamento")&gt;0,"Departamento",IF(COUNTIFS(Cifras!$A$2:$A$399,$A16,Cifras!$F$2:$F$399,"Sí",Cifras!$G$2:$G$399,"Sí",Cifras!$D$2:$D$399,"provincia")&gt;0,"Provincia",IF(COUNTIFS(Cifras!$A$2:$A$399,$A16,Cifras!$F$2:$F$399,"Sí",Cifras!$G$2:$G$399,"Sí",Cifras!$D$2:$D$399,"region")&gt;0,"Región",IF(COUNTIFS(Cifras!$A$2:$A$399,$A16,Cifras!$F$2:$F$399,"Sí",Cifras!$G$2:$G$399,"Sí",Cifras!$D$2:$D$399,"pais")&gt;0,"País","—")))))))</f>
        <v>Provincia</v>
      </c>
      <c r="T16" s="9" t="str">
        <f>IF(IFERROR(MATCH(TRUE,COUNTIFS(Catálogo!$J$2:$J$648,"*"&amp;$A16&amp;"*",Catálogo!$I$2:$I$648,"&lt;&gt;ausente",Catálogo!$M$2:$M$648,"completa",Catálogo!$L$2:$L$648,"*sexo*",Catálogo!$L$2:$L$648,"*edad*",Catálogo!$Q$2:$Q$648,{1,2,3,4,5,6,7,8,9})&gt;0,0),0)&gt;0,INDEX(Niveles!$C$2:$C$10,IFERROR(MATCH(TRUE,COUNTIFS(Catálogo!$J$2:$J$648,"*"&amp;$A16&amp;"*",Catálogo!$I$2:$I$648,"&lt;&gt;ausente",Catálogo!$M$2:$M$648,"completa",Catálogo!$L$2:$L$648,"*sexo*",Catálogo!$L$2:$L$648,"*edad*",Catálogo!$Q$2:$Q$648,{1,2,3,4,5,6,7,8,9})&gt;0,0),0))&amp;IF(AND(IFERROR(MATCH(TRUE,COUNTIFS(Catálogo!$J$2:$J$648,"*"&amp;$A16&amp;"*",Catálogo!$I$2:$I$648,"&lt;&gt;ausente",Catálogo!$M$2:$M$648,"parcial",Catálogo!$L$2:$L$648,"*sexo*",Catálogo!$L$2:$L$648,"*edad*",Catálogo!$Q$2:$Q$648,{1,2,3,4,5,6,7,8,9})&gt;0,0),0)&gt;0,IFERROR(MATCH(TRUE,COUNTIFS(Catálogo!$J$2:$J$648,"*"&amp;$A16&amp;"*",Catálogo!$I$2:$I$648,"&lt;&gt;ausente",Catálogo!$M$2:$M$648,"parcial",Catálogo!$L$2:$L$648,"*sexo*",Catálogo!$L$2:$L$648,"*edad*",Catálogo!$Q$2:$Q$648,{1,2,3,4,5,6,7,8,9})&gt;0,0),0)&lt;IFERROR(MATCH(TRUE,COUNTIFS(Catálogo!$J$2:$J$648,"*"&amp;$A16&amp;"*",Catálogo!$I$2:$I$648,"&lt;&gt;ausente",Catálogo!$M$2:$M$648,"completa",Catálogo!$L$2:$L$648,"*sexo*",Catálogo!$L$2:$L$648,"*edad*",Catálogo!$Q$2:$Q$648,{1,2,3,4,5,6,7,8,9})&gt;0,0),0)),"; "&amp;LOWER(INDEX(Niveles!$C$2:$C$10,IFERROR(MATCH(TRUE,COUNTIFS(Catálogo!$J$2:$J$648,"*"&amp;$A16&amp;"*",Catálogo!$I$2:$I$648,"&lt;&gt;ausente",Catálogo!$M$2:$M$648,"parcial",Catálogo!$L$2:$L$648,"*sexo*",Catálogo!$L$2:$L$648,"*edad*",Catálogo!$Q$2:$Q$648,{1,2,3,4,5,6,7,8,9})&gt;0,0),0)))&amp;" (parcial)",""),IF(IFERROR(MATCH(TRUE,COUNTIFS(Catálogo!$J$2:$J$648,"*"&amp;$A16&amp;"*",Catálogo!$I$2:$I$648,"&lt;&gt;ausente",Catálogo!$M$2:$M$648,"parcial",Catálogo!$L$2:$L$648,"*sexo*",Catálogo!$L$2:$L$648,"*edad*",Catálogo!$Q$2:$Q$648,{1,2,3,4,5,6,7,8,9})&gt;0,0),0)&gt;0,INDEX(Niveles!$C$2:$C$10,IFERROR(MATCH(TRUE,COUNTIFS(Catálogo!$J$2:$J$648,"*"&amp;$A16&amp;"*",Catálogo!$I$2:$I$648,"&lt;&gt;ausente",Catálogo!$M$2:$M$648,"parcial",Catálogo!$L$2:$L$648,"*sexo*",Catálogo!$L$2:$L$648,"*edad*",Catálogo!$Q$2:$Q$648,{1,2,3,4,5,6,7,8,9})&gt;0,0),0))&amp;" (parcial)","—"))</f>
        <v>Provincia</v>
      </c>
      <c r="U16" s="7">
        <f>SUMIFS(Cifras!$J$2:$J$399,Cifras!$A$2:$A$399,$A16)</f>
        <v>11</v>
      </c>
      <c r="V16" s="14" t="s">
        <v>44</v>
      </c>
      <c r="W16" s="11" t="s">
        <v>63</v>
      </c>
      <c r="X16" s="11" t="s">
        <v>64</v>
      </c>
    </row>
    <row r="17" spans="1:24" ht="76.5" x14ac:dyDescent="0.25">
      <c r="A17" s="5">
        <v>1952</v>
      </c>
      <c r="B17" s="6" t="s">
        <v>65</v>
      </c>
      <c r="C17" s="7">
        <v>2431</v>
      </c>
      <c r="D17" s="7">
        <f>COUNTIFS(Catálogo!$B$2:$B$648,$A17)</f>
        <v>134</v>
      </c>
      <c r="E17" s="7">
        <f>COUNTIFS(Catálogo!$B$2:$B$648,$A17,Catálogo!$F$2:$F$648,"cuadro")</f>
        <v>111</v>
      </c>
      <c r="F17" s="7">
        <f>COUNTIFS(Catálogo!$B$2:$B$648,$A17,Catálogo!$F$2:$F$648,"bloque")</f>
        <v>15</v>
      </c>
      <c r="G17" s="7">
        <f>COUNTIFS(Catálogo!$B$2:$B$648,$A17,Catálogo!$F$2:$F$648,"texto")</f>
        <v>8</v>
      </c>
      <c r="H17" s="7">
        <f>COUNTIFS(Catálogo!$B$2:$B$648,$A17,Catálogo!$I$2:$I$648,"verificada")</f>
        <v>125</v>
      </c>
      <c r="I17" s="7">
        <f>COUNTIFS(Catálogo!$B$2:$B$648,$A17,Catálogo!$I$2:$I$648,"estimada")</f>
        <v>8</v>
      </c>
      <c r="J17" s="7">
        <f>COUNTIFS(Catálogo!$B$2:$B$648,$A17,Catálogo!$I$2:$I$648,"desconocida")+COUNTIFS(Catálogo!$B$2:$B$648,$A17,Catálogo!$I$2:$I$648,"ausente")</f>
        <v>1</v>
      </c>
      <c r="K17" s="7">
        <f>COUNTIFS(Catálogo!$B$2:$B$648,$A17,Catálogo!$O$2:$O$648,"transcrito")</f>
        <v>8</v>
      </c>
      <c r="L17" s="7">
        <f>SUMIFS(Cifras!$H$2:$H$399,Cifras!$A$2:$A$399,$A17)</f>
        <v>1896</v>
      </c>
      <c r="M17" s="8" t="str">
        <f>IF(COUNTIFS(Cifras!$A$2:$A$399,$A17,Cifras!$D$2:$D$399,"distrito")&gt;0,"Distrito",IF(COUNTIFS(Cifras!$A$2:$A$399,$A17,Cifras!$D$2:$D$399,"comuna")&gt;0,"Comuna",IF(COUNTIFS(Cifras!$A$2:$A$399,$A17,Cifras!$D$2:$D$399,"partido")&gt;0,"Partido",IF(COUNTIFS(Cifras!$A$2:$A$399,$A17,Cifras!$D$2:$D$399,"departamento")&gt;0,"Departamento",IF(COUNTIFS(Cifras!$A$2:$A$399,$A17,Cifras!$D$2:$D$399,"provincia")&gt;0,"Provincia",IF(COUNTIFS(Cifras!$A$2:$A$399,$A17,Cifras!$D$2:$D$399,"region")&gt;0,"Región",IF(COUNTIFS(Cifras!$A$2:$A$399,$A17,Cifras!$D$2:$D$399,"pais")&gt;0,"País","—")))))))</f>
        <v>Comuna</v>
      </c>
      <c r="N17" s="9" t="str">
        <f>IF(IFERROR(MATCH(TRUE,COUNTIFS(Catálogo!$J$2:$J$648,"*"&amp;$A17&amp;"*",Catálogo!$I$2:$I$648,"&lt;&gt;ausente",Catálogo!$M$2:$M$648,"completa",Catálogo!$Q$2:$Q$648,{1,2,3,4,5,6,7,8,9})&gt;0,0),0)&gt;0,INDEX(Niveles!$C$2:$C$10,IFERROR(MATCH(TRUE,COUNTIFS(Catálogo!$J$2:$J$648,"*"&amp;$A17&amp;"*",Catálogo!$I$2:$I$648,"&lt;&gt;ausente",Catálogo!$M$2:$M$648,"completa",Catálogo!$Q$2:$Q$648,{1,2,3,4,5,6,7,8,9})&gt;0,0),0))&amp;IF(AND(IFERROR(MATCH(TRUE,COUNTIFS(Catálogo!$J$2:$J$648,"*"&amp;$A17&amp;"*",Catálogo!$I$2:$I$648,"&lt;&gt;ausente",Catálogo!$M$2:$M$648,"parcial",Catálogo!$Q$2:$Q$648,{1,2,3,4,5,6,7,8,9})&gt;0,0),0)&gt;0,IFERROR(MATCH(TRUE,COUNTIFS(Catálogo!$J$2:$J$648,"*"&amp;$A17&amp;"*",Catálogo!$I$2:$I$648,"&lt;&gt;ausente",Catálogo!$M$2:$M$648,"parcial",Catálogo!$Q$2:$Q$648,{1,2,3,4,5,6,7,8,9})&gt;0,0),0)&lt;IFERROR(MATCH(TRUE,COUNTIFS(Catálogo!$J$2:$J$648,"*"&amp;$A17&amp;"*",Catálogo!$I$2:$I$648,"&lt;&gt;ausente",Catálogo!$M$2:$M$648,"completa",Catálogo!$Q$2:$Q$648,{1,2,3,4,5,6,7,8,9})&gt;0,0),0)),"; "&amp;LOWER(INDEX(Niveles!$C$2:$C$10,IFERROR(MATCH(TRUE,COUNTIFS(Catálogo!$J$2:$J$648,"*"&amp;$A17&amp;"*",Catálogo!$I$2:$I$648,"&lt;&gt;ausente",Catálogo!$M$2:$M$648,"parcial",Catálogo!$Q$2:$Q$648,{1,2,3,4,5,6,7,8,9})&gt;0,0),0)))&amp;" (parcial)",""),IF(IFERROR(MATCH(TRUE,COUNTIFS(Catálogo!$J$2:$J$648,"*"&amp;$A17&amp;"*",Catálogo!$I$2:$I$648,"&lt;&gt;ausente",Catálogo!$M$2:$M$648,"parcial",Catálogo!$Q$2:$Q$648,{1,2,3,4,5,6,7,8,9})&gt;0,0),0)&gt;0,INDEX(Niveles!$C$2:$C$10,IFERROR(MATCH(TRUE,COUNTIFS(Catálogo!$J$2:$J$648,"*"&amp;$A17&amp;"*",Catálogo!$I$2:$I$648,"&lt;&gt;ausente",Catálogo!$M$2:$M$648,"parcial",Catálogo!$Q$2:$Q$648,{1,2,3,4,5,6,7,8,9})&gt;0,0),0))&amp;" (parcial)","—"))</f>
        <v>Comuna; entidad (parcial)</v>
      </c>
      <c r="O17" s="8" t="str">
        <f>IF(COUNTIFS(Cifras!$A$2:$A$399,$A17,Cifras!$E$2:$E$399,"Sí",Cifras!$D$2:$D$399,"distrito")&gt;0,"Distrito",IF(COUNTIFS(Cifras!$A$2:$A$399,$A17,Cifras!$E$2:$E$399,"Sí",Cifras!$D$2:$D$399,"comuna")&gt;0,"Comuna",IF(COUNTIFS(Cifras!$A$2:$A$399,$A17,Cifras!$E$2:$E$399,"Sí",Cifras!$D$2:$D$399,"partido")&gt;0,"Partido",IF(COUNTIFS(Cifras!$A$2:$A$399,$A17,Cifras!$E$2:$E$399,"Sí",Cifras!$D$2:$D$399,"departamento")&gt;0,"Departamento",IF(COUNTIFS(Cifras!$A$2:$A$399,$A17,Cifras!$E$2:$E$399,"Sí",Cifras!$D$2:$D$399,"provincia")&gt;0,"Provincia",IF(COUNTIFS(Cifras!$A$2:$A$399,$A17,Cifras!$E$2:$E$399,"Sí",Cifras!$D$2:$D$399,"region")&gt;0,"Región",IF(COUNTIFS(Cifras!$A$2:$A$399,$A17,Cifras!$E$2:$E$399,"Sí",Cifras!$D$2:$D$399,"pais")&gt;0,"País","—")))))))</f>
        <v>Provincia</v>
      </c>
      <c r="P17" s="9" t="str">
        <f>IF(IFERROR(MATCH(TRUE,COUNTIFS(Catálogo!$J$2:$J$648,"*"&amp;$A17&amp;"*",Catálogo!$I$2:$I$648,"&lt;&gt;ausente",Catálogo!$M$2:$M$648,"completa",Catálogo!$L$2:$L$648,"*area*",Catálogo!$Q$2:$Q$648,{1,2,3,4,5,6,7,8,9})&gt;0,0),0)&gt;0,INDEX(Niveles!$C$2:$C$10,IFERROR(MATCH(TRUE,COUNTIFS(Catálogo!$J$2:$J$648,"*"&amp;$A17&amp;"*",Catálogo!$I$2:$I$648,"&lt;&gt;ausente",Catálogo!$M$2:$M$648,"completa",Catálogo!$L$2:$L$648,"*area*",Catálogo!$Q$2:$Q$648,{1,2,3,4,5,6,7,8,9})&gt;0,0),0))&amp;IF(AND(IFERROR(MATCH(TRUE,COUNTIFS(Catálogo!$J$2:$J$648,"*"&amp;$A17&amp;"*",Catálogo!$I$2:$I$648,"&lt;&gt;ausente",Catálogo!$M$2:$M$648,"parcial",Catálogo!$L$2:$L$648,"*area*",Catálogo!$Q$2:$Q$648,{1,2,3,4,5,6,7,8,9})&gt;0,0),0)&gt;0,IFERROR(MATCH(TRUE,COUNTIFS(Catálogo!$J$2:$J$648,"*"&amp;$A17&amp;"*",Catálogo!$I$2:$I$648,"&lt;&gt;ausente",Catálogo!$M$2:$M$648,"parcial",Catálogo!$L$2:$L$648,"*area*",Catálogo!$Q$2:$Q$648,{1,2,3,4,5,6,7,8,9})&gt;0,0),0)&lt;IFERROR(MATCH(TRUE,COUNTIFS(Catálogo!$J$2:$J$648,"*"&amp;$A17&amp;"*",Catálogo!$I$2:$I$648,"&lt;&gt;ausente",Catálogo!$M$2:$M$648,"completa",Catálogo!$L$2:$L$648,"*area*",Catálogo!$Q$2:$Q$648,{1,2,3,4,5,6,7,8,9})&gt;0,0),0)),"; "&amp;LOWER(INDEX(Niveles!$C$2:$C$10,IFERROR(MATCH(TRUE,COUNTIFS(Catálogo!$J$2:$J$648,"*"&amp;$A17&amp;"*",Catálogo!$I$2:$I$648,"&lt;&gt;ausente",Catálogo!$M$2:$M$648,"parcial",Catálogo!$L$2:$L$648,"*area*",Catálogo!$Q$2:$Q$648,{1,2,3,4,5,6,7,8,9})&gt;0,0),0)))&amp;" (parcial)",""),IF(IFERROR(MATCH(TRUE,COUNTIFS(Catálogo!$J$2:$J$648,"*"&amp;$A17&amp;"*",Catálogo!$I$2:$I$648,"&lt;&gt;ausente",Catálogo!$M$2:$M$648,"parcial",Catálogo!$L$2:$L$648,"*area*",Catálogo!$Q$2:$Q$648,{1,2,3,4,5,6,7,8,9})&gt;0,0),0)&gt;0,INDEX(Niveles!$C$2:$C$10,IFERROR(MATCH(TRUE,COUNTIFS(Catálogo!$J$2:$J$648,"*"&amp;$A17&amp;"*",Catálogo!$I$2:$I$648,"&lt;&gt;ausente",Catálogo!$M$2:$M$648,"parcial",Catálogo!$L$2:$L$648,"*area*",Catálogo!$Q$2:$Q$648,{1,2,3,4,5,6,7,8,9})&gt;0,0),0))&amp;" (parcial)","—"))</f>
        <v>Provincia; comuna (parcial)</v>
      </c>
      <c r="Q17" s="8" t="str">
        <f>IF(COUNTIFS(Cifras!$A$2:$A$399,$A17,Cifras!$E$2:$E$399,"Sí",Cifras!$F$2:$F$399,"Sí",Cifras!$D$2:$D$399,"distrito")&gt;0,"Distrito",IF(COUNTIFS(Cifras!$A$2:$A$399,$A17,Cifras!$E$2:$E$399,"Sí",Cifras!$F$2:$F$399,"Sí",Cifras!$D$2:$D$399,"comuna")&gt;0,"Comuna",IF(COUNTIFS(Cifras!$A$2:$A$399,$A17,Cifras!$E$2:$E$399,"Sí",Cifras!$F$2:$F$399,"Sí",Cifras!$D$2:$D$399,"partido")&gt;0,"Partido",IF(COUNTIFS(Cifras!$A$2:$A$399,$A17,Cifras!$E$2:$E$399,"Sí",Cifras!$F$2:$F$399,"Sí",Cifras!$D$2:$D$399,"departamento")&gt;0,"Departamento",IF(COUNTIFS(Cifras!$A$2:$A$399,$A17,Cifras!$E$2:$E$399,"Sí",Cifras!$F$2:$F$399,"Sí",Cifras!$D$2:$D$399,"provincia")&gt;0,"Provincia",IF(COUNTIFS(Cifras!$A$2:$A$399,$A17,Cifras!$E$2:$E$399,"Sí",Cifras!$F$2:$F$399,"Sí",Cifras!$D$2:$D$399,"region")&gt;0,"Región",IF(COUNTIFS(Cifras!$A$2:$A$399,$A17,Cifras!$E$2:$E$399,"Sí",Cifras!$F$2:$F$399,"Sí",Cifras!$D$2:$D$399,"pais")&gt;0,"País","—")))))))</f>
        <v>Provincia</v>
      </c>
      <c r="R17" s="9" t="str">
        <f>IF(IFERROR(MATCH(TRUE,COUNTIFS(Catálogo!$J$2:$J$648,"*"&amp;$A17&amp;"*",Catálogo!$I$2:$I$648,"&lt;&gt;ausente",Catálogo!$M$2:$M$648,"completa",Catálogo!$L$2:$L$648,"*area*",Catálogo!$L$2:$L$648,"*sexo*",Catálogo!$Q$2:$Q$648,{1,2,3,4,5,6,7,8,9})&gt;0,0),0)&gt;0,INDEX(Niveles!$C$2:$C$10,IFERROR(MATCH(TRUE,COUNTIFS(Catálogo!$J$2:$J$648,"*"&amp;$A17&amp;"*",Catálogo!$I$2:$I$648,"&lt;&gt;ausente",Catálogo!$M$2:$M$648,"completa",Catálogo!$L$2:$L$648,"*area*",Catálogo!$L$2:$L$648,"*sexo*",Catálogo!$Q$2:$Q$648,{1,2,3,4,5,6,7,8,9})&gt;0,0),0))&amp;IF(AND(IFERROR(MATCH(TRUE,COUNTIFS(Catálogo!$J$2:$J$648,"*"&amp;$A17&amp;"*",Catálogo!$I$2:$I$648,"&lt;&gt;ausente",Catálogo!$M$2:$M$648,"parcial",Catálogo!$L$2:$L$648,"*area*",Catálogo!$L$2:$L$648,"*sexo*",Catálogo!$Q$2:$Q$648,{1,2,3,4,5,6,7,8,9})&gt;0,0),0)&gt;0,IFERROR(MATCH(TRUE,COUNTIFS(Catálogo!$J$2:$J$648,"*"&amp;$A17&amp;"*",Catálogo!$I$2:$I$648,"&lt;&gt;ausente",Catálogo!$M$2:$M$648,"parcial",Catálogo!$L$2:$L$648,"*area*",Catálogo!$L$2:$L$648,"*sexo*",Catálogo!$Q$2:$Q$648,{1,2,3,4,5,6,7,8,9})&gt;0,0),0)&lt;IFERROR(MATCH(TRUE,COUNTIFS(Catálogo!$J$2:$J$648,"*"&amp;$A17&amp;"*",Catálogo!$I$2:$I$648,"&lt;&gt;ausente",Catálogo!$M$2:$M$648,"completa",Catálogo!$L$2:$L$648,"*area*",Catálogo!$L$2:$L$648,"*sexo*",Catálogo!$Q$2:$Q$648,{1,2,3,4,5,6,7,8,9})&gt;0,0),0)),"; "&amp;LOWER(INDEX(Niveles!$C$2:$C$10,IFERROR(MATCH(TRUE,COUNTIFS(Catálogo!$J$2:$J$648,"*"&amp;$A17&amp;"*",Catálogo!$I$2:$I$648,"&lt;&gt;ausente",Catálogo!$M$2:$M$648,"parcial",Catálogo!$L$2:$L$648,"*area*",Catálogo!$L$2:$L$648,"*sexo*",Catálogo!$Q$2:$Q$648,{1,2,3,4,5,6,7,8,9})&gt;0,0),0)))&amp;" (parcial)",""),IF(IFERROR(MATCH(TRUE,COUNTIFS(Catálogo!$J$2:$J$648,"*"&amp;$A17&amp;"*",Catálogo!$I$2:$I$648,"&lt;&gt;ausente",Catálogo!$M$2:$M$648,"parcial",Catálogo!$L$2:$L$648,"*area*",Catálogo!$L$2:$L$648,"*sexo*",Catálogo!$Q$2:$Q$648,{1,2,3,4,5,6,7,8,9})&gt;0,0),0)&gt;0,INDEX(Niveles!$C$2:$C$10,IFERROR(MATCH(TRUE,COUNTIFS(Catálogo!$J$2:$J$648,"*"&amp;$A17&amp;"*",Catálogo!$I$2:$I$648,"&lt;&gt;ausente",Catálogo!$M$2:$M$648,"parcial",Catálogo!$L$2:$L$648,"*area*",Catálogo!$L$2:$L$648,"*sexo*",Catálogo!$Q$2:$Q$648,{1,2,3,4,5,6,7,8,9})&gt;0,0),0))&amp;" (parcial)","—"))</f>
        <v>Provincia; comuna (parcial)</v>
      </c>
      <c r="S17" s="8" t="str">
        <f>IF(COUNTIFS(Cifras!$A$2:$A$399,$A17,Cifras!$F$2:$F$399,"Sí",Cifras!$G$2:$G$399,"Sí",Cifras!$D$2:$D$399,"distrito")&gt;0,"Distrito",IF(COUNTIFS(Cifras!$A$2:$A$399,$A17,Cifras!$F$2:$F$399,"Sí",Cifras!$G$2:$G$399,"Sí",Cifras!$D$2:$D$399,"comuna")&gt;0,"Comuna",IF(COUNTIFS(Cifras!$A$2:$A$399,$A17,Cifras!$F$2:$F$399,"Sí",Cifras!$G$2:$G$399,"Sí",Cifras!$D$2:$D$399,"partido")&gt;0,"Partido",IF(COUNTIFS(Cifras!$A$2:$A$399,$A17,Cifras!$F$2:$F$399,"Sí",Cifras!$G$2:$G$399,"Sí",Cifras!$D$2:$D$399,"departamento")&gt;0,"Departamento",IF(COUNTIFS(Cifras!$A$2:$A$399,$A17,Cifras!$F$2:$F$399,"Sí",Cifras!$G$2:$G$399,"Sí",Cifras!$D$2:$D$399,"provincia")&gt;0,"Provincia",IF(COUNTIFS(Cifras!$A$2:$A$399,$A17,Cifras!$F$2:$F$399,"Sí",Cifras!$G$2:$G$399,"Sí",Cifras!$D$2:$D$399,"region")&gt;0,"Región",IF(COUNTIFS(Cifras!$A$2:$A$399,$A17,Cifras!$F$2:$F$399,"Sí",Cifras!$G$2:$G$399,"Sí",Cifras!$D$2:$D$399,"pais")&gt;0,"País","—")))))))</f>
        <v>País</v>
      </c>
      <c r="T17" s="9" t="str">
        <f>IF(IFERROR(MATCH(TRUE,COUNTIFS(Catálogo!$J$2:$J$648,"*"&amp;$A17&amp;"*",Catálogo!$I$2:$I$648,"&lt;&gt;ausente",Catálogo!$M$2:$M$648,"completa",Catálogo!$L$2:$L$648,"*sexo*",Catálogo!$L$2:$L$648,"*edad*",Catálogo!$Q$2:$Q$648,{1,2,3,4,5,6,7,8,9})&gt;0,0),0)&gt;0,INDEX(Niveles!$C$2:$C$10,IFERROR(MATCH(TRUE,COUNTIFS(Catálogo!$J$2:$J$648,"*"&amp;$A17&amp;"*",Catálogo!$I$2:$I$648,"&lt;&gt;ausente",Catálogo!$M$2:$M$648,"completa",Catálogo!$L$2:$L$648,"*sexo*",Catálogo!$L$2:$L$648,"*edad*",Catálogo!$Q$2:$Q$648,{1,2,3,4,5,6,7,8,9})&gt;0,0),0))&amp;IF(AND(IFERROR(MATCH(TRUE,COUNTIFS(Catálogo!$J$2:$J$648,"*"&amp;$A17&amp;"*",Catálogo!$I$2:$I$648,"&lt;&gt;ausente",Catálogo!$M$2:$M$648,"parcial",Catálogo!$L$2:$L$648,"*sexo*",Catálogo!$L$2:$L$648,"*edad*",Catálogo!$Q$2:$Q$648,{1,2,3,4,5,6,7,8,9})&gt;0,0),0)&gt;0,IFERROR(MATCH(TRUE,COUNTIFS(Catálogo!$J$2:$J$648,"*"&amp;$A17&amp;"*",Catálogo!$I$2:$I$648,"&lt;&gt;ausente",Catálogo!$M$2:$M$648,"parcial",Catálogo!$L$2:$L$648,"*sexo*",Catálogo!$L$2:$L$648,"*edad*",Catálogo!$Q$2:$Q$648,{1,2,3,4,5,6,7,8,9})&gt;0,0),0)&lt;IFERROR(MATCH(TRUE,COUNTIFS(Catálogo!$J$2:$J$648,"*"&amp;$A17&amp;"*",Catálogo!$I$2:$I$648,"&lt;&gt;ausente",Catálogo!$M$2:$M$648,"completa",Catálogo!$L$2:$L$648,"*sexo*",Catálogo!$L$2:$L$648,"*edad*",Catálogo!$Q$2:$Q$648,{1,2,3,4,5,6,7,8,9})&gt;0,0),0)),"; "&amp;LOWER(INDEX(Niveles!$C$2:$C$10,IFERROR(MATCH(TRUE,COUNTIFS(Catálogo!$J$2:$J$648,"*"&amp;$A17&amp;"*",Catálogo!$I$2:$I$648,"&lt;&gt;ausente",Catálogo!$M$2:$M$648,"parcial",Catálogo!$L$2:$L$648,"*sexo*",Catálogo!$L$2:$L$648,"*edad*",Catálogo!$Q$2:$Q$648,{1,2,3,4,5,6,7,8,9})&gt;0,0),0)))&amp;" (parcial)",""),IF(IFERROR(MATCH(TRUE,COUNTIFS(Catálogo!$J$2:$J$648,"*"&amp;$A17&amp;"*",Catálogo!$I$2:$I$648,"&lt;&gt;ausente",Catálogo!$M$2:$M$648,"parcial",Catálogo!$L$2:$L$648,"*sexo*",Catálogo!$L$2:$L$648,"*edad*",Catálogo!$Q$2:$Q$648,{1,2,3,4,5,6,7,8,9})&gt;0,0),0)&gt;0,INDEX(Niveles!$C$2:$C$10,IFERROR(MATCH(TRUE,COUNTIFS(Catálogo!$J$2:$J$648,"*"&amp;$A17&amp;"*",Catálogo!$I$2:$I$648,"&lt;&gt;ausente",Catálogo!$M$2:$M$648,"parcial",Catálogo!$L$2:$L$648,"*sexo*",Catálogo!$L$2:$L$648,"*edad*",Catálogo!$Q$2:$Q$648,{1,2,3,4,5,6,7,8,9})&gt;0,0),0))&amp;" (parcial)","—"))</f>
        <v>País; comuna (parcial)</v>
      </c>
      <c r="U17" s="7">
        <f>SUMIFS(Cifras!$J$2:$J$399,Cifras!$A$2:$A$399,$A17)</f>
        <v>4</v>
      </c>
      <c r="V17" s="15" t="s">
        <v>66</v>
      </c>
      <c r="W17" s="11" t="s">
        <v>67</v>
      </c>
      <c r="X17" s="11" t="s">
        <v>68</v>
      </c>
    </row>
    <row r="18" spans="1:24" ht="38.25" x14ac:dyDescent="0.25">
      <c r="A18" s="5">
        <v>1960</v>
      </c>
      <c r="B18" s="6" t="s">
        <v>69</v>
      </c>
      <c r="C18" s="7">
        <v>474</v>
      </c>
      <c r="D18" s="7">
        <f>COUNTIFS(Catálogo!$B$2:$B$648,$A18)</f>
        <v>97</v>
      </c>
      <c r="E18" s="7">
        <f>COUNTIFS(Catálogo!$B$2:$B$648,$A18,Catálogo!$F$2:$F$648,"cuadro")</f>
        <v>68</v>
      </c>
      <c r="F18" s="7">
        <f>COUNTIFS(Catálogo!$B$2:$B$648,$A18,Catálogo!$F$2:$F$648,"bloque")</f>
        <v>0</v>
      </c>
      <c r="G18" s="7">
        <f>COUNTIFS(Catálogo!$B$2:$B$648,$A18,Catálogo!$F$2:$F$648,"texto")</f>
        <v>29</v>
      </c>
      <c r="H18" s="7">
        <f>COUNTIFS(Catálogo!$B$2:$B$648,$A18,Catálogo!$I$2:$I$648,"verificada")</f>
        <v>5</v>
      </c>
      <c r="I18" s="7">
        <f>COUNTIFS(Catálogo!$B$2:$B$648,$A18,Catálogo!$I$2:$I$648,"estimada")</f>
        <v>91</v>
      </c>
      <c r="J18" s="7">
        <f>COUNTIFS(Catálogo!$B$2:$B$648,$A18,Catálogo!$I$2:$I$648,"desconocida")+COUNTIFS(Catálogo!$B$2:$B$648,$A18,Catálogo!$I$2:$I$648,"ausente")</f>
        <v>1</v>
      </c>
      <c r="K18" s="7">
        <f>COUNTIFS(Catálogo!$B$2:$B$648,$A18,Catálogo!$O$2:$O$648,"transcrito")</f>
        <v>4</v>
      </c>
      <c r="L18" s="7">
        <f>SUMIFS(Cifras!$H$2:$H$399,Cifras!$A$2:$A$399,$A18)</f>
        <v>1797</v>
      </c>
      <c r="M18" s="8" t="str">
        <f>IF(COUNTIFS(Cifras!$A$2:$A$399,$A18,Cifras!$D$2:$D$399,"distrito")&gt;0,"Distrito",IF(COUNTIFS(Cifras!$A$2:$A$399,$A18,Cifras!$D$2:$D$399,"comuna")&gt;0,"Comuna",IF(COUNTIFS(Cifras!$A$2:$A$399,$A18,Cifras!$D$2:$D$399,"partido")&gt;0,"Partido",IF(COUNTIFS(Cifras!$A$2:$A$399,$A18,Cifras!$D$2:$D$399,"departamento")&gt;0,"Departamento",IF(COUNTIFS(Cifras!$A$2:$A$399,$A18,Cifras!$D$2:$D$399,"provincia")&gt;0,"Provincia",IF(COUNTIFS(Cifras!$A$2:$A$399,$A18,Cifras!$D$2:$D$399,"region")&gt;0,"Región",IF(COUNTIFS(Cifras!$A$2:$A$399,$A18,Cifras!$D$2:$D$399,"pais")&gt;0,"País","—")))))))</f>
        <v>Provincia</v>
      </c>
      <c r="N18" s="9" t="str">
        <f>IF(IFERROR(MATCH(TRUE,COUNTIFS(Catálogo!$J$2:$J$648,"*"&amp;$A18&amp;"*",Catálogo!$I$2:$I$648,"&lt;&gt;ausente",Catálogo!$M$2:$M$648,"completa",Catálogo!$Q$2:$Q$648,{1,2,3,4,5,6,7,8,9})&gt;0,0),0)&gt;0,INDEX(Niveles!$C$2:$C$10,IFERROR(MATCH(TRUE,COUNTIFS(Catálogo!$J$2:$J$648,"*"&amp;$A18&amp;"*",Catálogo!$I$2:$I$648,"&lt;&gt;ausente",Catálogo!$M$2:$M$648,"completa",Catálogo!$Q$2:$Q$648,{1,2,3,4,5,6,7,8,9})&gt;0,0),0))&amp;IF(AND(IFERROR(MATCH(TRUE,COUNTIFS(Catálogo!$J$2:$J$648,"*"&amp;$A18&amp;"*",Catálogo!$I$2:$I$648,"&lt;&gt;ausente",Catálogo!$M$2:$M$648,"parcial",Catálogo!$Q$2:$Q$648,{1,2,3,4,5,6,7,8,9})&gt;0,0),0)&gt;0,IFERROR(MATCH(TRUE,COUNTIFS(Catálogo!$J$2:$J$648,"*"&amp;$A18&amp;"*",Catálogo!$I$2:$I$648,"&lt;&gt;ausente",Catálogo!$M$2:$M$648,"parcial",Catálogo!$Q$2:$Q$648,{1,2,3,4,5,6,7,8,9})&gt;0,0),0)&lt;IFERROR(MATCH(TRUE,COUNTIFS(Catálogo!$J$2:$J$648,"*"&amp;$A18&amp;"*",Catálogo!$I$2:$I$648,"&lt;&gt;ausente",Catálogo!$M$2:$M$648,"completa",Catálogo!$Q$2:$Q$648,{1,2,3,4,5,6,7,8,9})&gt;0,0),0)),"; "&amp;LOWER(INDEX(Niveles!$C$2:$C$10,IFERROR(MATCH(TRUE,COUNTIFS(Catálogo!$J$2:$J$648,"*"&amp;$A18&amp;"*",Catálogo!$I$2:$I$648,"&lt;&gt;ausente",Catálogo!$M$2:$M$648,"parcial",Catálogo!$Q$2:$Q$648,{1,2,3,4,5,6,7,8,9})&gt;0,0),0)))&amp;" (parcial)",""),IF(IFERROR(MATCH(TRUE,COUNTIFS(Catálogo!$J$2:$J$648,"*"&amp;$A18&amp;"*",Catálogo!$I$2:$I$648,"&lt;&gt;ausente",Catálogo!$M$2:$M$648,"parcial",Catálogo!$Q$2:$Q$648,{1,2,3,4,5,6,7,8,9})&gt;0,0),0)&gt;0,INDEX(Niveles!$C$2:$C$10,IFERROR(MATCH(TRUE,COUNTIFS(Catálogo!$J$2:$J$648,"*"&amp;$A18&amp;"*",Catálogo!$I$2:$I$648,"&lt;&gt;ausente",Catálogo!$M$2:$M$648,"parcial",Catálogo!$Q$2:$Q$648,{1,2,3,4,5,6,7,8,9})&gt;0,0),0))&amp;" (parcial)","—"))</f>
        <v>Provincia; comuna (parcial)</v>
      </c>
      <c r="O18" s="8" t="str">
        <f>IF(COUNTIFS(Cifras!$A$2:$A$399,$A18,Cifras!$E$2:$E$399,"Sí",Cifras!$D$2:$D$399,"distrito")&gt;0,"Distrito",IF(COUNTIFS(Cifras!$A$2:$A$399,$A18,Cifras!$E$2:$E$399,"Sí",Cifras!$D$2:$D$399,"comuna")&gt;0,"Comuna",IF(COUNTIFS(Cifras!$A$2:$A$399,$A18,Cifras!$E$2:$E$399,"Sí",Cifras!$D$2:$D$399,"partido")&gt;0,"Partido",IF(COUNTIFS(Cifras!$A$2:$A$399,$A18,Cifras!$E$2:$E$399,"Sí",Cifras!$D$2:$D$399,"departamento")&gt;0,"Departamento",IF(COUNTIFS(Cifras!$A$2:$A$399,$A18,Cifras!$E$2:$E$399,"Sí",Cifras!$D$2:$D$399,"provincia")&gt;0,"Provincia",IF(COUNTIFS(Cifras!$A$2:$A$399,$A18,Cifras!$E$2:$E$399,"Sí",Cifras!$D$2:$D$399,"region")&gt;0,"Región",IF(COUNTIFS(Cifras!$A$2:$A$399,$A18,Cifras!$E$2:$E$399,"Sí",Cifras!$D$2:$D$399,"pais")&gt;0,"País","—")))))))</f>
        <v>Provincia</v>
      </c>
      <c r="P18" s="9" t="str">
        <f>IF(IFERROR(MATCH(TRUE,COUNTIFS(Catálogo!$J$2:$J$648,"*"&amp;$A18&amp;"*",Catálogo!$I$2:$I$648,"&lt;&gt;ausente",Catálogo!$M$2:$M$648,"completa",Catálogo!$L$2:$L$648,"*area*",Catálogo!$Q$2:$Q$648,{1,2,3,4,5,6,7,8,9})&gt;0,0),0)&gt;0,INDEX(Niveles!$C$2:$C$10,IFERROR(MATCH(TRUE,COUNTIFS(Catálogo!$J$2:$J$648,"*"&amp;$A18&amp;"*",Catálogo!$I$2:$I$648,"&lt;&gt;ausente",Catálogo!$M$2:$M$648,"completa",Catálogo!$L$2:$L$648,"*area*",Catálogo!$Q$2:$Q$648,{1,2,3,4,5,6,7,8,9})&gt;0,0),0))&amp;IF(AND(IFERROR(MATCH(TRUE,COUNTIFS(Catálogo!$J$2:$J$648,"*"&amp;$A18&amp;"*",Catálogo!$I$2:$I$648,"&lt;&gt;ausente",Catálogo!$M$2:$M$648,"parcial",Catálogo!$L$2:$L$648,"*area*",Catálogo!$Q$2:$Q$648,{1,2,3,4,5,6,7,8,9})&gt;0,0),0)&gt;0,IFERROR(MATCH(TRUE,COUNTIFS(Catálogo!$J$2:$J$648,"*"&amp;$A18&amp;"*",Catálogo!$I$2:$I$648,"&lt;&gt;ausente",Catálogo!$M$2:$M$648,"parcial",Catálogo!$L$2:$L$648,"*area*",Catálogo!$Q$2:$Q$648,{1,2,3,4,5,6,7,8,9})&gt;0,0),0)&lt;IFERROR(MATCH(TRUE,COUNTIFS(Catálogo!$J$2:$J$648,"*"&amp;$A18&amp;"*",Catálogo!$I$2:$I$648,"&lt;&gt;ausente",Catálogo!$M$2:$M$648,"completa",Catálogo!$L$2:$L$648,"*area*",Catálogo!$Q$2:$Q$648,{1,2,3,4,5,6,7,8,9})&gt;0,0),0)),"; "&amp;LOWER(INDEX(Niveles!$C$2:$C$10,IFERROR(MATCH(TRUE,COUNTIFS(Catálogo!$J$2:$J$648,"*"&amp;$A18&amp;"*",Catálogo!$I$2:$I$648,"&lt;&gt;ausente",Catálogo!$M$2:$M$648,"parcial",Catálogo!$L$2:$L$648,"*area*",Catálogo!$Q$2:$Q$648,{1,2,3,4,5,6,7,8,9})&gt;0,0),0)))&amp;" (parcial)",""),IF(IFERROR(MATCH(TRUE,COUNTIFS(Catálogo!$J$2:$J$648,"*"&amp;$A18&amp;"*",Catálogo!$I$2:$I$648,"&lt;&gt;ausente",Catálogo!$M$2:$M$648,"parcial",Catálogo!$L$2:$L$648,"*area*",Catálogo!$Q$2:$Q$648,{1,2,3,4,5,6,7,8,9})&gt;0,0),0)&gt;0,INDEX(Niveles!$C$2:$C$10,IFERROR(MATCH(TRUE,COUNTIFS(Catálogo!$J$2:$J$648,"*"&amp;$A18&amp;"*",Catálogo!$I$2:$I$648,"&lt;&gt;ausente",Catálogo!$M$2:$M$648,"parcial",Catálogo!$L$2:$L$648,"*area*",Catálogo!$Q$2:$Q$648,{1,2,3,4,5,6,7,8,9})&gt;0,0),0))&amp;" (parcial)","—"))</f>
        <v>Provincia</v>
      </c>
      <c r="Q18" s="8" t="str">
        <f>IF(COUNTIFS(Cifras!$A$2:$A$399,$A18,Cifras!$E$2:$E$399,"Sí",Cifras!$F$2:$F$399,"Sí",Cifras!$D$2:$D$399,"distrito")&gt;0,"Distrito",IF(COUNTIFS(Cifras!$A$2:$A$399,$A18,Cifras!$E$2:$E$399,"Sí",Cifras!$F$2:$F$399,"Sí",Cifras!$D$2:$D$399,"comuna")&gt;0,"Comuna",IF(COUNTIFS(Cifras!$A$2:$A$399,$A18,Cifras!$E$2:$E$399,"Sí",Cifras!$F$2:$F$399,"Sí",Cifras!$D$2:$D$399,"partido")&gt;0,"Partido",IF(COUNTIFS(Cifras!$A$2:$A$399,$A18,Cifras!$E$2:$E$399,"Sí",Cifras!$F$2:$F$399,"Sí",Cifras!$D$2:$D$399,"departamento")&gt;0,"Departamento",IF(COUNTIFS(Cifras!$A$2:$A$399,$A18,Cifras!$E$2:$E$399,"Sí",Cifras!$F$2:$F$399,"Sí",Cifras!$D$2:$D$399,"provincia")&gt;0,"Provincia",IF(COUNTIFS(Cifras!$A$2:$A$399,$A18,Cifras!$E$2:$E$399,"Sí",Cifras!$F$2:$F$399,"Sí",Cifras!$D$2:$D$399,"region")&gt;0,"Región",IF(COUNTIFS(Cifras!$A$2:$A$399,$A18,Cifras!$E$2:$E$399,"Sí",Cifras!$F$2:$F$399,"Sí",Cifras!$D$2:$D$399,"pais")&gt;0,"País","—")))))))</f>
        <v>Provincia</v>
      </c>
      <c r="R18" s="9" t="str">
        <f>IF(IFERROR(MATCH(TRUE,COUNTIFS(Catálogo!$J$2:$J$648,"*"&amp;$A18&amp;"*",Catálogo!$I$2:$I$648,"&lt;&gt;ausente",Catálogo!$M$2:$M$648,"completa",Catálogo!$L$2:$L$648,"*area*",Catálogo!$L$2:$L$648,"*sexo*",Catálogo!$Q$2:$Q$648,{1,2,3,4,5,6,7,8,9})&gt;0,0),0)&gt;0,INDEX(Niveles!$C$2:$C$10,IFERROR(MATCH(TRUE,COUNTIFS(Catálogo!$J$2:$J$648,"*"&amp;$A18&amp;"*",Catálogo!$I$2:$I$648,"&lt;&gt;ausente",Catálogo!$M$2:$M$648,"completa",Catálogo!$L$2:$L$648,"*area*",Catálogo!$L$2:$L$648,"*sexo*",Catálogo!$Q$2:$Q$648,{1,2,3,4,5,6,7,8,9})&gt;0,0),0))&amp;IF(AND(IFERROR(MATCH(TRUE,COUNTIFS(Catálogo!$J$2:$J$648,"*"&amp;$A18&amp;"*",Catálogo!$I$2:$I$648,"&lt;&gt;ausente",Catálogo!$M$2:$M$648,"parcial",Catálogo!$L$2:$L$648,"*area*",Catálogo!$L$2:$L$648,"*sexo*",Catálogo!$Q$2:$Q$648,{1,2,3,4,5,6,7,8,9})&gt;0,0),0)&gt;0,IFERROR(MATCH(TRUE,COUNTIFS(Catálogo!$J$2:$J$648,"*"&amp;$A18&amp;"*",Catálogo!$I$2:$I$648,"&lt;&gt;ausente",Catálogo!$M$2:$M$648,"parcial",Catálogo!$L$2:$L$648,"*area*",Catálogo!$L$2:$L$648,"*sexo*",Catálogo!$Q$2:$Q$648,{1,2,3,4,5,6,7,8,9})&gt;0,0),0)&lt;IFERROR(MATCH(TRUE,COUNTIFS(Catálogo!$J$2:$J$648,"*"&amp;$A18&amp;"*",Catálogo!$I$2:$I$648,"&lt;&gt;ausente",Catálogo!$M$2:$M$648,"completa",Catálogo!$L$2:$L$648,"*area*",Catálogo!$L$2:$L$648,"*sexo*",Catálogo!$Q$2:$Q$648,{1,2,3,4,5,6,7,8,9})&gt;0,0),0)),"; "&amp;LOWER(INDEX(Niveles!$C$2:$C$10,IFERROR(MATCH(TRUE,COUNTIFS(Catálogo!$J$2:$J$648,"*"&amp;$A18&amp;"*",Catálogo!$I$2:$I$648,"&lt;&gt;ausente",Catálogo!$M$2:$M$648,"parcial",Catálogo!$L$2:$L$648,"*area*",Catálogo!$L$2:$L$648,"*sexo*",Catálogo!$Q$2:$Q$648,{1,2,3,4,5,6,7,8,9})&gt;0,0),0)))&amp;" (parcial)",""),IF(IFERROR(MATCH(TRUE,COUNTIFS(Catálogo!$J$2:$J$648,"*"&amp;$A18&amp;"*",Catálogo!$I$2:$I$648,"&lt;&gt;ausente",Catálogo!$M$2:$M$648,"parcial",Catálogo!$L$2:$L$648,"*area*",Catálogo!$L$2:$L$648,"*sexo*",Catálogo!$Q$2:$Q$648,{1,2,3,4,5,6,7,8,9})&gt;0,0),0)&gt;0,INDEX(Niveles!$C$2:$C$10,IFERROR(MATCH(TRUE,COUNTIFS(Catálogo!$J$2:$J$648,"*"&amp;$A18&amp;"*",Catálogo!$I$2:$I$648,"&lt;&gt;ausente",Catálogo!$M$2:$M$648,"parcial",Catálogo!$L$2:$L$648,"*area*",Catálogo!$L$2:$L$648,"*sexo*",Catálogo!$Q$2:$Q$648,{1,2,3,4,5,6,7,8,9})&gt;0,0),0))&amp;" (parcial)","—"))</f>
        <v>Provincia</v>
      </c>
      <c r="S18" s="8" t="str">
        <f>IF(COUNTIFS(Cifras!$A$2:$A$399,$A18,Cifras!$F$2:$F$399,"Sí",Cifras!$G$2:$G$399,"Sí",Cifras!$D$2:$D$399,"distrito")&gt;0,"Distrito",IF(COUNTIFS(Cifras!$A$2:$A$399,$A18,Cifras!$F$2:$F$399,"Sí",Cifras!$G$2:$G$399,"Sí",Cifras!$D$2:$D$399,"comuna")&gt;0,"Comuna",IF(COUNTIFS(Cifras!$A$2:$A$399,$A18,Cifras!$F$2:$F$399,"Sí",Cifras!$G$2:$G$399,"Sí",Cifras!$D$2:$D$399,"partido")&gt;0,"Partido",IF(COUNTIFS(Cifras!$A$2:$A$399,$A18,Cifras!$F$2:$F$399,"Sí",Cifras!$G$2:$G$399,"Sí",Cifras!$D$2:$D$399,"departamento")&gt;0,"Departamento",IF(COUNTIFS(Cifras!$A$2:$A$399,$A18,Cifras!$F$2:$F$399,"Sí",Cifras!$G$2:$G$399,"Sí",Cifras!$D$2:$D$399,"provincia")&gt;0,"Provincia",IF(COUNTIFS(Cifras!$A$2:$A$399,$A18,Cifras!$F$2:$F$399,"Sí",Cifras!$G$2:$G$399,"Sí",Cifras!$D$2:$D$399,"region")&gt;0,"Región",IF(COUNTIFS(Cifras!$A$2:$A$399,$A18,Cifras!$F$2:$F$399,"Sí",Cifras!$G$2:$G$399,"Sí",Cifras!$D$2:$D$399,"pais")&gt;0,"País","—")))))))</f>
        <v>País</v>
      </c>
      <c r="T18" s="9" t="str">
        <f>IF(IFERROR(MATCH(TRUE,COUNTIFS(Catálogo!$J$2:$J$648,"*"&amp;$A18&amp;"*",Catálogo!$I$2:$I$648,"&lt;&gt;ausente",Catálogo!$M$2:$M$648,"completa",Catálogo!$L$2:$L$648,"*sexo*",Catálogo!$L$2:$L$648,"*edad*",Catálogo!$Q$2:$Q$648,{1,2,3,4,5,6,7,8,9})&gt;0,0),0)&gt;0,INDEX(Niveles!$C$2:$C$10,IFERROR(MATCH(TRUE,COUNTIFS(Catálogo!$J$2:$J$648,"*"&amp;$A18&amp;"*",Catálogo!$I$2:$I$648,"&lt;&gt;ausente",Catálogo!$M$2:$M$648,"completa",Catálogo!$L$2:$L$648,"*sexo*",Catálogo!$L$2:$L$648,"*edad*",Catálogo!$Q$2:$Q$648,{1,2,3,4,5,6,7,8,9})&gt;0,0),0))&amp;IF(AND(IFERROR(MATCH(TRUE,COUNTIFS(Catálogo!$J$2:$J$648,"*"&amp;$A18&amp;"*",Catálogo!$I$2:$I$648,"&lt;&gt;ausente",Catálogo!$M$2:$M$648,"parcial",Catálogo!$L$2:$L$648,"*sexo*",Catálogo!$L$2:$L$648,"*edad*",Catálogo!$Q$2:$Q$648,{1,2,3,4,5,6,7,8,9})&gt;0,0),0)&gt;0,IFERROR(MATCH(TRUE,COUNTIFS(Catálogo!$J$2:$J$648,"*"&amp;$A18&amp;"*",Catálogo!$I$2:$I$648,"&lt;&gt;ausente",Catálogo!$M$2:$M$648,"parcial",Catálogo!$L$2:$L$648,"*sexo*",Catálogo!$L$2:$L$648,"*edad*",Catálogo!$Q$2:$Q$648,{1,2,3,4,5,6,7,8,9})&gt;0,0),0)&lt;IFERROR(MATCH(TRUE,COUNTIFS(Catálogo!$J$2:$J$648,"*"&amp;$A18&amp;"*",Catálogo!$I$2:$I$648,"&lt;&gt;ausente",Catálogo!$M$2:$M$648,"completa",Catálogo!$L$2:$L$648,"*sexo*",Catálogo!$L$2:$L$648,"*edad*",Catálogo!$Q$2:$Q$648,{1,2,3,4,5,6,7,8,9})&gt;0,0),0)),"; "&amp;LOWER(INDEX(Niveles!$C$2:$C$10,IFERROR(MATCH(TRUE,COUNTIFS(Catálogo!$J$2:$J$648,"*"&amp;$A18&amp;"*",Catálogo!$I$2:$I$648,"&lt;&gt;ausente",Catálogo!$M$2:$M$648,"parcial",Catálogo!$L$2:$L$648,"*sexo*",Catálogo!$L$2:$L$648,"*edad*",Catálogo!$Q$2:$Q$648,{1,2,3,4,5,6,7,8,9})&gt;0,0),0)))&amp;" (parcial)",""),IF(IFERROR(MATCH(TRUE,COUNTIFS(Catálogo!$J$2:$J$648,"*"&amp;$A18&amp;"*",Catálogo!$I$2:$I$648,"&lt;&gt;ausente",Catálogo!$M$2:$M$648,"parcial",Catálogo!$L$2:$L$648,"*sexo*",Catálogo!$L$2:$L$648,"*edad*",Catálogo!$Q$2:$Q$648,{1,2,3,4,5,6,7,8,9})&gt;0,0),0)&gt;0,INDEX(Niveles!$C$2:$C$10,IFERROR(MATCH(TRUE,COUNTIFS(Catálogo!$J$2:$J$648,"*"&amp;$A18&amp;"*",Catálogo!$I$2:$I$648,"&lt;&gt;ausente",Catálogo!$M$2:$M$648,"parcial",Catálogo!$L$2:$L$648,"*sexo*",Catálogo!$L$2:$L$648,"*edad*",Catálogo!$Q$2:$Q$648,{1,2,3,4,5,6,7,8,9})&gt;0,0),0))&amp;" (parcial)","—"))</f>
        <v>País; comuna (parcial)</v>
      </c>
      <c r="U18" s="7">
        <f>SUMIFS(Cifras!$J$2:$J$399,Cifras!$A$2:$A$399,$A18)</f>
        <v>0</v>
      </c>
      <c r="V18" s="14" t="s">
        <v>44</v>
      </c>
      <c r="W18" s="11" t="s">
        <v>70</v>
      </c>
      <c r="X18" s="11" t="s">
        <v>71</v>
      </c>
    </row>
    <row r="19" spans="1:24" ht="38.25" x14ac:dyDescent="0.25">
      <c r="A19" s="5">
        <v>1970</v>
      </c>
      <c r="B19" s="6" t="s">
        <v>72</v>
      </c>
      <c r="C19" s="7">
        <v>169</v>
      </c>
      <c r="D19" s="7">
        <f>COUNTIFS(Catálogo!$B$2:$B$648,$A19)</f>
        <v>37</v>
      </c>
      <c r="E19" s="7">
        <f>COUNTIFS(Catálogo!$B$2:$B$648,$A19,Catálogo!$F$2:$F$648,"cuadro")</f>
        <v>36</v>
      </c>
      <c r="F19" s="7">
        <f>COUNTIFS(Catálogo!$B$2:$B$648,$A19,Catálogo!$F$2:$F$648,"bloque")</f>
        <v>0</v>
      </c>
      <c r="G19" s="7">
        <f>COUNTIFS(Catálogo!$B$2:$B$648,$A19,Catálogo!$F$2:$F$648,"texto")</f>
        <v>1</v>
      </c>
      <c r="H19" s="7">
        <f>COUNTIFS(Catálogo!$B$2:$B$648,$A19,Catálogo!$I$2:$I$648,"verificada")</f>
        <v>1</v>
      </c>
      <c r="I19" s="7">
        <f>COUNTIFS(Catálogo!$B$2:$B$648,$A19,Catálogo!$I$2:$I$648,"estimada")</f>
        <v>35</v>
      </c>
      <c r="J19" s="7">
        <f>COUNTIFS(Catálogo!$B$2:$B$648,$A19,Catálogo!$I$2:$I$648,"desconocida")+COUNTIFS(Catálogo!$B$2:$B$648,$A19,Catálogo!$I$2:$I$648,"ausente")</f>
        <v>1</v>
      </c>
      <c r="K19" s="7">
        <f>COUNTIFS(Catálogo!$B$2:$B$648,$A19,Catálogo!$O$2:$O$648,"transcrito")</f>
        <v>2</v>
      </c>
      <c r="L19" s="7">
        <f>SUMIFS(Cifras!$H$2:$H$399,Cifras!$A$2:$A$399,$A19)</f>
        <v>962</v>
      </c>
      <c r="M19" s="8" t="str">
        <f>IF(COUNTIFS(Cifras!$A$2:$A$399,$A19,Cifras!$D$2:$D$399,"distrito")&gt;0,"Distrito",IF(COUNTIFS(Cifras!$A$2:$A$399,$A19,Cifras!$D$2:$D$399,"comuna")&gt;0,"Comuna",IF(COUNTIFS(Cifras!$A$2:$A$399,$A19,Cifras!$D$2:$D$399,"partido")&gt;0,"Partido",IF(COUNTIFS(Cifras!$A$2:$A$399,$A19,Cifras!$D$2:$D$399,"departamento")&gt;0,"Departamento",IF(COUNTIFS(Cifras!$A$2:$A$399,$A19,Cifras!$D$2:$D$399,"provincia")&gt;0,"Provincia",IF(COUNTIFS(Cifras!$A$2:$A$399,$A19,Cifras!$D$2:$D$399,"region")&gt;0,"Región",IF(COUNTIFS(Cifras!$A$2:$A$399,$A19,Cifras!$D$2:$D$399,"pais")&gt;0,"País","—")))))))</f>
        <v>Provincia</v>
      </c>
      <c r="N19" s="9" t="str">
        <f>IF(IFERROR(MATCH(TRUE,COUNTIFS(Catálogo!$J$2:$J$648,"*"&amp;$A19&amp;"*",Catálogo!$I$2:$I$648,"&lt;&gt;ausente",Catálogo!$M$2:$M$648,"completa",Catálogo!$Q$2:$Q$648,{1,2,3,4,5,6,7,8,9})&gt;0,0),0)&gt;0,INDEX(Niveles!$C$2:$C$10,IFERROR(MATCH(TRUE,COUNTIFS(Catálogo!$J$2:$J$648,"*"&amp;$A19&amp;"*",Catálogo!$I$2:$I$648,"&lt;&gt;ausente",Catálogo!$M$2:$M$648,"completa",Catálogo!$Q$2:$Q$648,{1,2,3,4,5,6,7,8,9})&gt;0,0),0))&amp;IF(AND(IFERROR(MATCH(TRUE,COUNTIFS(Catálogo!$J$2:$J$648,"*"&amp;$A19&amp;"*",Catálogo!$I$2:$I$648,"&lt;&gt;ausente",Catálogo!$M$2:$M$648,"parcial",Catálogo!$Q$2:$Q$648,{1,2,3,4,5,6,7,8,9})&gt;0,0),0)&gt;0,IFERROR(MATCH(TRUE,COUNTIFS(Catálogo!$J$2:$J$648,"*"&amp;$A19&amp;"*",Catálogo!$I$2:$I$648,"&lt;&gt;ausente",Catálogo!$M$2:$M$648,"parcial",Catálogo!$Q$2:$Q$648,{1,2,3,4,5,6,7,8,9})&gt;0,0),0)&lt;IFERROR(MATCH(TRUE,COUNTIFS(Catálogo!$J$2:$J$648,"*"&amp;$A19&amp;"*",Catálogo!$I$2:$I$648,"&lt;&gt;ausente",Catálogo!$M$2:$M$648,"completa",Catálogo!$Q$2:$Q$648,{1,2,3,4,5,6,7,8,9})&gt;0,0),0)),"; "&amp;LOWER(INDEX(Niveles!$C$2:$C$10,IFERROR(MATCH(TRUE,COUNTIFS(Catálogo!$J$2:$J$648,"*"&amp;$A19&amp;"*",Catálogo!$I$2:$I$648,"&lt;&gt;ausente",Catálogo!$M$2:$M$648,"parcial",Catálogo!$Q$2:$Q$648,{1,2,3,4,5,6,7,8,9})&gt;0,0),0)))&amp;" (parcial)",""),IF(IFERROR(MATCH(TRUE,COUNTIFS(Catálogo!$J$2:$J$648,"*"&amp;$A19&amp;"*",Catálogo!$I$2:$I$648,"&lt;&gt;ausente",Catálogo!$M$2:$M$648,"parcial",Catálogo!$Q$2:$Q$648,{1,2,3,4,5,6,7,8,9})&gt;0,0),0)&gt;0,INDEX(Niveles!$C$2:$C$10,IFERROR(MATCH(TRUE,COUNTIFS(Catálogo!$J$2:$J$648,"*"&amp;$A19&amp;"*",Catálogo!$I$2:$I$648,"&lt;&gt;ausente",Catálogo!$M$2:$M$648,"parcial",Catálogo!$Q$2:$Q$648,{1,2,3,4,5,6,7,8,9})&gt;0,0),0))&amp;" (parcial)","—"))</f>
        <v>Provincia</v>
      </c>
      <c r="O19" s="8" t="str">
        <f>IF(COUNTIFS(Cifras!$A$2:$A$399,$A19,Cifras!$E$2:$E$399,"Sí",Cifras!$D$2:$D$399,"distrito")&gt;0,"Distrito",IF(COUNTIFS(Cifras!$A$2:$A$399,$A19,Cifras!$E$2:$E$399,"Sí",Cifras!$D$2:$D$399,"comuna")&gt;0,"Comuna",IF(COUNTIFS(Cifras!$A$2:$A$399,$A19,Cifras!$E$2:$E$399,"Sí",Cifras!$D$2:$D$399,"partido")&gt;0,"Partido",IF(COUNTIFS(Cifras!$A$2:$A$399,$A19,Cifras!$E$2:$E$399,"Sí",Cifras!$D$2:$D$399,"departamento")&gt;0,"Departamento",IF(COUNTIFS(Cifras!$A$2:$A$399,$A19,Cifras!$E$2:$E$399,"Sí",Cifras!$D$2:$D$399,"provincia")&gt;0,"Provincia",IF(COUNTIFS(Cifras!$A$2:$A$399,$A19,Cifras!$E$2:$E$399,"Sí",Cifras!$D$2:$D$399,"region")&gt;0,"Región",IF(COUNTIFS(Cifras!$A$2:$A$399,$A19,Cifras!$E$2:$E$399,"Sí",Cifras!$D$2:$D$399,"pais")&gt;0,"País","—")))))))</f>
        <v>País</v>
      </c>
      <c r="P19" s="9" t="str">
        <f>IF(IFERROR(MATCH(TRUE,COUNTIFS(Catálogo!$J$2:$J$648,"*"&amp;$A19&amp;"*",Catálogo!$I$2:$I$648,"&lt;&gt;ausente",Catálogo!$M$2:$M$648,"completa",Catálogo!$L$2:$L$648,"*area*",Catálogo!$Q$2:$Q$648,{1,2,3,4,5,6,7,8,9})&gt;0,0),0)&gt;0,INDEX(Niveles!$C$2:$C$10,IFERROR(MATCH(TRUE,COUNTIFS(Catálogo!$J$2:$J$648,"*"&amp;$A19&amp;"*",Catálogo!$I$2:$I$648,"&lt;&gt;ausente",Catálogo!$M$2:$M$648,"completa",Catálogo!$L$2:$L$648,"*area*",Catálogo!$Q$2:$Q$648,{1,2,3,4,5,6,7,8,9})&gt;0,0),0))&amp;IF(AND(IFERROR(MATCH(TRUE,COUNTIFS(Catálogo!$J$2:$J$648,"*"&amp;$A19&amp;"*",Catálogo!$I$2:$I$648,"&lt;&gt;ausente",Catálogo!$M$2:$M$648,"parcial",Catálogo!$L$2:$L$648,"*area*",Catálogo!$Q$2:$Q$648,{1,2,3,4,5,6,7,8,9})&gt;0,0),0)&gt;0,IFERROR(MATCH(TRUE,COUNTIFS(Catálogo!$J$2:$J$648,"*"&amp;$A19&amp;"*",Catálogo!$I$2:$I$648,"&lt;&gt;ausente",Catálogo!$M$2:$M$648,"parcial",Catálogo!$L$2:$L$648,"*area*",Catálogo!$Q$2:$Q$648,{1,2,3,4,5,6,7,8,9})&gt;0,0),0)&lt;IFERROR(MATCH(TRUE,COUNTIFS(Catálogo!$J$2:$J$648,"*"&amp;$A19&amp;"*",Catálogo!$I$2:$I$648,"&lt;&gt;ausente",Catálogo!$M$2:$M$648,"completa",Catálogo!$L$2:$L$648,"*area*",Catálogo!$Q$2:$Q$648,{1,2,3,4,5,6,7,8,9})&gt;0,0),0)),"; "&amp;LOWER(INDEX(Niveles!$C$2:$C$10,IFERROR(MATCH(TRUE,COUNTIFS(Catálogo!$J$2:$J$648,"*"&amp;$A19&amp;"*",Catálogo!$I$2:$I$648,"&lt;&gt;ausente",Catálogo!$M$2:$M$648,"parcial",Catálogo!$L$2:$L$648,"*area*",Catálogo!$Q$2:$Q$648,{1,2,3,4,5,6,7,8,9})&gt;0,0),0)))&amp;" (parcial)",""),IF(IFERROR(MATCH(TRUE,COUNTIFS(Catálogo!$J$2:$J$648,"*"&amp;$A19&amp;"*",Catálogo!$I$2:$I$648,"&lt;&gt;ausente",Catálogo!$M$2:$M$648,"parcial",Catálogo!$L$2:$L$648,"*area*",Catálogo!$Q$2:$Q$648,{1,2,3,4,5,6,7,8,9})&gt;0,0),0)&gt;0,INDEX(Niveles!$C$2:$C$10,IFERROR(MATCH(TRUE,COUNTIFS(Catálogo!$J$2:$J$648,"*"&amp;$A19&amp;"*",Catálogo!$I$2:$I$648,"&lt;&gt;ausente",Catálogo!$M$2:$M$648,"parcial",Catálogo!$L$2:$L$648,"*area*",Catálogo!$Q$2:$Q$648,{1,2,3,4,5,6,7,8,9})&gt;0,0),0))&amp;" (parcial)","—"))</f>
        <v>País</v>
      </c>
      <c r="Q19" s="8" t="str">
        <f>IF(COUNTIFS(Cifras!$A$2:$A$399,$A19,Cifras!$E$2:$E$399,"Sí",Cifras!$F$2:$F$399,"Sí",Cifras!$D$2:$D$399,"distrito")&gt;0,"Distrito",IF(COUNTIFS(Cifras!$A$2:$A$399,$A19,Cifras!$E$2:$E$399,"Sí",Cifras!$F$2:$F$399,"Sí",Cifras!$D$2:$D$399,"comuna")&gt;0,"Comuna",IF(COUNTIFS(Cifras!$A$2:$A$399,$A19,Cifras!$E$2:$E$399,"Sí",Cifras!$F$2:$F$399,"Sí",Cifras!$D$2:$D$399,"partido")&gt;0,"Partido",IF(COUNTIFS(Cifras!$A$2:$A$399,$A19,Cifras!$E$2:$E$399,"Sí",Cifras!$F$2:$F$399,"Sí",Cifras!$D$2:$D$399,"departamento")&gt;0,"Departamento",IF(COUNTIFS(Cifras!$A$2:$A$399,$A19,Cifras!$E$2:$E$399,"Sí",Cifras!$F$2:$F$399,"Sí",Cifras!$D$2:$D$399,"provincia")&gt;0,"Provincia",IF(COUNTIFS(Cifras!$A$2:$A$399,$A19,Cifras!$E$2:$E$399,"Sí",Cifras!$F$2:$F$399,"Sí",Cifras!$D$2:$D$399,"region")&gt;0,"Región",IF(COUNTIFS(Cifras!$A$2:$A$399,$A19,Cifras!$E$2:$E$399,"Sí",Cifras!$F$2:$F$399,"Sí",Cifras!$D$2:$D$399,"pais")&gt;0,"País","—")))))))</f>
        <v>País</v>
      </c>
      <c r="R19" s="9" t="str">
        <f>IF(IFERROR(MATCH(TRUE,COUNTIFS(Catálogo!$J$2:$J$648,"*"&amp;$A19&amp;"*",Catálogo!$I$2:$I$648,"&lt;&gt;ausente",Catálogo!$M$2:$M$648,"completa",Catálogo!$L$2:$L$648,"*area*",Catálogo!$L$2:$L$648,"*sexo*",Catálogo!$Q$2:$Q$648,{1,2,3,4,5,6,7,8,9})&gt;0,0),0)&gt;0,INDEX(Niveles!$C$2:$C$10,IFERROR(MATCH(TRUE,COUNTIFS(Catálogo!$J$2:$J$648,"*"&amp;$A19&amp;"*",Catálogo!$I$2:$I$648,"&lt;&gt;ausente",Catálogo!$M$2:$M$648,"completa",Catálogo!$L$2:$L$648,"*area*",Catálogo!$L$2:$L$648,"*sexo*",Catálogo!$Q$2:$Q$648,{1,2,3,4,5,6,7,8,9})&gt;0,0),0))&amp;IF(AND(IFERROR(MATCH(TRUE,COUNTIFS(Catálogo!$J$2:$J$648,"*"&amp;$A19&amp;"*",Catálogo!$I$2:$I$648,"&lt;&gt;ausente",Catálogo!$M$2:$M$648,"parcial",Catálogo!$L$2:$L$648,"*area*",Catálogo!$L$2:$L$648,"*sexo*",Catálogo!$Q$2:$Q$648,{1,2,3,4,5,6,7,8,9})&gt;0,0),0)&gt;0,IFERROR(MATCH(TRUE,COUNTIFS(Catálogo!$J$2:$J$648,"*"&amp;$A19&amp;"*",Catálogo!$I$2:$I$648,"&lt;&gt;ausente",Catálogo!$M$2:$M$648,"parcial",Catálogo!$L$2:$L$648,"*area*",Catálogo!$L$2:$L$648,"*sexo*",Catálogo!$Q$2:$Q$648,{1,2,3,4,5,6,7,8,9})&gt;0,0),0)&lt;IFERROR(MATCH(TRUE,COUNTIFS(Catálogo!$J$2:$J$648,"*"&amp;$A19&amp;"*",Catálogo!$I$2:$I$648,"&lt;&gt;ausente",Catálogo!$M$2:$M$648,"completa",Catálogo!$L$2:$L$648,"*area*",Catálogo!$L$2:$L$648,"*sexo*",Catálogo!$Q$2:$Q$648,{1,2,3,4,5,6,7,8,9})&gt;0,0),0)),"; "&amp;LOWER(INDEX(Niveles!$C$2:$C$10,IFERROR(MATCH(TRUE,COUNTIFS(Catálogo!$J$2:$J$648,"*"&amp;$A19&amp;"*",Catálogo!$I$2:$I$648,"&lt;&gt;ausente",Catálogo!$M$2:$M$648,"parcial",Catálogo!$L$2:$L$648,"*area*",Catálogo!$L$2:$L$648,"*sexo*",Catálogo!$Q$2:$Q$648,{1,2,3,4,5,6,7,8,9})&gt;0,0),0)))&amp;" (parcial)",""),IF(IFERROR(MATCH(TRUE,COUNTIFS(Catálogo!$J$2:$J$648,"*"&amp;$A19&amp;"*",Catálogo!$I$2:$I$648,"&lt;&gt;ausente",Catálogo!$M$2:$M$648,"parcial",Catálogo!$L$2:$L$648,"*area*",Catálogo!$L$2:$L$648,"*sexo*",Catálogo!$Q$2:$Q$648,{1,2,3,4,5,6,7,8,9})&gt;0,0),0)&gt;0,INDEX(Niveles!$C$2:$C$10,IFERROR(MATCH(TRUE,COUNTIFS(Catálogo!$J$2:$J$648,"*"&amp;$A19&amp;"*",Catálogo!$I$2:$I$648,"&lt;&gt;ausente",Catálogo!$M$2:$M$648,"parcial",Catálogo!$L$2:$L$648,"*area*",Catálogo!$L$2:$L$648,"*sexo*",Catálogo!$Q$2:$Q$648,{1,2,3,4,5,6,7,8,9})&gt;0,0),0))&amp;" (parcial)","—"))</f>
        <v>País</v>
      </c>
      <c r="S19" s="8" t="str">
        <f>IF(COUNTIFS(Cifras!$A$2:$A$399,$A19,Cifras!$F$2:$F$399,"Sí",Cifras!$G$2:$G$399,"Sí",Cifras!$D$2:$D$399,"distrito")&gt;0,"Distrito",IF(COUNTIFS(Cifras!$A$2:$A$399,$A19,Cifras!$F$2:$F$399,"Sí",Cifras!$G$2:$G$399,"Sí",Cifras!$D$2:$D$399,"comuna")&gt;0,"Comuna",IF(COUNTIFS(Cifras!$A$2:$A$399,$A19,Cifras!$F$2:$F$399,"Sí",Cifras!$G$2:$G$399,"Sí",Cifras!$D$2:$D$399,"partido")&gt;0,"Partido",IF(COUNTIFS(Cifras!$A$2:$A$399,$A19,Cifras!$F$2:$F$399,"Sí",Cifras!$G$2:$G$399,"Sí",Cifras!$D$2:$D$399,"departamento")&gt;0,"Departamento",IF(COUNTIFS(Cifras!$A$2:$A$399,$A19,Cifras!$F$2:$F$399,"Sí",Cifras!$G$2:$G$399,"Sí",Cifras!$D$2:$D$399,"provincia")&gt;0,"Provincia",IF(COUNTIFS(Cifras!$A$2:$A$399,$A19,Cifras!$F$2:$F$399,"Sí",Cifras!$G$2:$G$399,"Sí",Cifras!$D$2:$D$399,"region")&gt;0,"Región",IF(COUNTIFS(Cifras!$A$2:$A$399,$A19,Cifras!$F$2:$F$399,"Sí",Cifras!$G$2:$G$399,"Sí",Cifras!$D$2:$D$399,"pais")&gt;0,"País","—")))))))</f>
        <v>País</v>
      </c>
      <c r="T19" s="9" t="str">
        <f>IF(IFERROR(MATCH(TRUE,COUNTIFS(Catálogo!$J$2:$J$648,"*"&amp;$A19&amp;"*",Catálogo!$I$2:$I$648,"&lt;&gt;ausente",Catálogo!$M$2:$M$648,"completa",Catálogo!$L$2:$L$648,"*sexo*",Catálogo!$L$2:$L$648,"*edad*",Catálogo!$Q$2:$Q$648,{1,2,3,4,5,6,7,8,9})&gt;0,0),0)&gt;0,INDEX(Niveles!$C$2:$C$10,IFERROR(MATCH(TRUE,COUNTIFS(Catálogo!$J$2:$J$648,"*"&amp;$A19&amp;"*",Catálogo!$I$2:$I$648,"&lt;&gt;ausente",Catálogo!$M$2:$M$648,"completa",Catálogo!$L$2:$L$648,"*sexo*",Catálogo!$L$2:$L$648,"*edad*",Catálogo!$Q$2:$Q$648,{1,2,3,4,5,6,7,8,9})&gt;0,0),0))&amp;IF(AND(IFERROR(MATCH(TRUE,COUNTIFS(Catálogo!$J$2:$J$648,"*"&amp;$A19&amp;"*",Catálogo!$I$2:$I$648,"&lt;&gt;ausente",Catálogo!$M$2:$M$648,"parcial",Catálogo!$L$2:$L$648,"*sexo*",Catálogo!$L$2:$L$648,"*edad*",Catálogo!$Q$2:$Q$648,{1,2,3,4,5,6,7,8,9})&gt;0,0),0)&gt;0,IFERROR(MATCH(TRUE,COUNTIFS(Catálogo!$J$2:$J$648,"*"&amp;$A19&amp;"*",Catálogo!$I$2:$I$648,"&lt;&gt;ausente",Catálogo!$M$2:$M$648,"parcial",Catálogo!$L$2:$L$648,"*sexo*",Catálogo!$L$2:$L$648,"*edad*",Catálogo!$Q$2:$Q$648,{1,2,3,4,5,6,7,8,9})&gt;0,0),0)&lt;IFERROR(MATCH(TRUE,COUNTIFS(Catálogo!$J$2:$J$648,"*"&amp;$A19&amp;"*",Catálogo!$I$2:$I$648,"&lt;&gt;ausente",Catálogo!$M$2:$M$648,"completa",Catálogo!$L$2:$L$648,"*sexo*",Catálogo!$L$2:$L$648,"*edad*",Catálogo!$Q$2:$Q$648,{1,2,3,4,5,6,7,8,9})&gt;0,0),0)),"; "&amp;LOWER(INDEX(Niveles!$C$2:$C$10,IFERROR(MATCH(TRUE,COUNTIFS(Catálogo!$J$2:$J$648,"*"&amp;$A19&amp;"*",Catálogo!$I$2:$I$648,"&lt;&gt;ausente",Catálogo!$M$2:$M$648,"parcial",Catálogo!$L$2:$L$648,"*sexo*",Catálogo!$L$2:$L$648,"*edad*",Catálogo!$Q$2:$Q$648,{1,2,3,4,5,6,7,8,9})&gt;0,0),0)))&amp;" (parcial)",""),IF(IFERROR(MATCH(TRUE,COUNTIFS(Catálogo!$J$2:$J$648,"*"&amp;$A19&amp;"*",Catálogo!$I$2:$I$648,"&lt;&gt;ausente",Catálogo!$M$2:$M$648,"parcial",Catálogo!$L$2:$L$648,"*sexo*",Catálogo!$L$2:$L$648,"*edad*",Catálogo!$Q$2:$Q$648,{1,2,3,4,5,6,7,8,9})&gt;0,0),0)&gt;0,INDEX(Niveles!$C$2:$C$10,IFERROR(MATCH(TRUE,COUNTIFS(Catálogo!$J$2:$J$648,"*"&amp;$A19&amp;"*",Catálogo!$I$2:$I$648,"&lt;&gt;ausente",Catálogo!$M$2:$M$648,"parcial",Catálogo!$L$2:$L$648,"*sexo*",Catálogo!$L$2:$L$648,"*edad*",Catálogo!$Q$2:$Q$648,{1,2,3,4,5,6,7,8,9})&gt;0,0),0))&amp;" (parcial)","—"))</f>
        <v>País</v>
      </c>
      <c r="U19" s="7">
        <f>SUMIFS(Cifras!$J$2:$J$399,Cifras!$A$2:$A$399,$A19)</f>
        <v>0</v>
      </c>
      <c r="V19" s="14" t="s">
        <v>44</v>
      </c>
      <c r="W19" s="11" t="s">
        <v>73</v>
      </c>
      <c r="X19" s="11" t="s">
        <v>74</v>
      </c>
    </row>
    <row r="20" spans="1:24" ht="38.25" x14ac:dyDescent="0.25">
      <c r="A20" s="5">
        <v>1982</v>
      </c>
      <c r="B20" s="6" t="s">
        <v>75</v>
      </c>
      <c r="C20" s="7">
        <v>1034</v>
      </c>
      <c r="D20" s="7">
        <f>COUNTIFS(Catálogo!$B$2:$B$648,$A20)</f>
        <v>76</v>
      </c>
      <c r="E20" s="7">
        <f>COUNTIFS(Catálogo!$B$2:$B$648,$A20,Catálogo!$F$2:$F$648,"cuadro")</f>
        <v>68</v>
      </c>
      <c r="F20" s="7">
        <f>COUNTIFS(Catálogo!$B$2:$B$648,$A20,Catálogo!$F$2:$F$648,"bloque")</f>
        <v>0</v>
      </c>
      <c r="G20" s="7">
        <f>COUNTIFS(Catálogo!$B$2:$B$648,$A20,Catálogo!$F$2:$F$648,"texto")</f>
        <v>8</v>
      </c>
      <c r="H20" s="7">
        <f>COUNTIFS(Catálogo!$B$2:$B$648,$A20,Catálogo!$I$2:$I$648,"verificada")</f>
        <v>6</v>
      </c>
      <c r="I20" s="7">
        <f>COUNTIFS(Catálogo!$B$2:$B$648,$A20,Catálogo!$I$2:$I$648,"estimada")</f>
        <v>62</v>
      </c>
      <c r="J20" s="7">
        <f>COUNTIFS(Catálogo!$B$2:$B$648,$A20,Catálogo!$I$2:$I$648,"desconocida")+COUNTIFS(Catálogo!$B$2:$B$648,$A20,Catálogo!$I$2:$I$648,"ausente")</f>
        <v>8</v>
      </c>
      <c r="K20" s="7">
        <f>COUNTIFS(Catálogo!$B$2:$B$648,$A20,Catálogo!$O$2:$O$648,"transcrito")</f>
        <v>2</v>
      </c>
      <c r="L20" s="7">
        <f>SUMIFS(Cifras!$H$2:$H$399,Cifras!$A$2:$A$399,$A20)</f>
        <v>4587</v>
      </c>
      <c r="M20" s="8" t="str">
        <f>IF(COUNTIFS(Cifras!$A$2:$A$399,$A20,Cifras!$D$2:$D$399,"distrito")&gt;0,"Distrito",IF(COUNTIFS(Cifras!$A$2:$A$399,$A20,Cifras!$D$2:$D$399,"comuna")&gt;0,"Comuna",IF(COUNTIFS(Cifras!$A$2:$A$399,$A20,Cifras!$D$2:$D$399,"partido")&gt;0,"Partido",IF(COUNTIFS(Cifras!$A$2:$A$399,$A20,Cifras!$D$2:$D$399,"departamento")&gt;0,"Departamento",IF(COUNTIFS(Cifras!$A$2:$A$399,$A20,Cifras!$D$2:$D$399,"provincia")&gt;0,"Provincia",IF(COUNTIFS(Cifras!$A$2:$A$399,$A20,Cifras!$D$2:$D$399,"region")&gt;0,"Región",IF(COUNTIFS(Cifras!$A$2:$A$399,$A20,Cifras!$D$2:$D$399,"pais")&gt;0,"País","—")))))))</f>
        <v>Comuna</v>
      </c>
      <c r="N20" s="9" t="str">
        <f>IF(IFERROR(MATCH(TRUE,COUNTIFS(Catálogo!$J$2:$J$648,"*"&amp;$A20&amp;"*",Catálogo!$I$2:$I$648,"&lt;&gt;ausente",Catálogo!$M$2:$M$648,"completa",Catálogo!$Q$2:$Q$648,{1,2,3,4,5,6,7,8,9})&gt;0,0),0)&gt;0,INDEX(Niveles!$C$2:$C$10,IFERROR(MATCH(TRUE,COUNTIFS(Catálogo!$J$2:$J$648,"*"&amp;$A20&amp;"*",Catálogo!$I$2:$I$648,"&lt;&gt;ausente",Catálogo!$M$2:$M$648,"completa",Catálogo!$Q$2:$Q$648,{1,2,3,4,5,6,7,8,9})&gt;0,0),0))&amp;IF(AND(IFERROR(MATCH(TRUE,COUNTIFS(Catálogo!$J$2:$J$648,"*"&amp;$A20&amp;"*",Catálogo!$I$2:$I$648,"&lt;&gt;ausente",Catálogo!$M$2:$M$648,"parcial",Catálogo!$Q$2:$Q$648,{1,2,3,4,5,6,7,8,9})&gt;0,0),0)&gt;0,IFERROR(MATCH(TRUE,COUNTIFS(Catálogo!$J$2:$J$648,"*"&amp;$A20&amp;"*",Catálogo!$I$2:$I$648,"&lt;&gt;ausente",Catálogo!$M$2:$M$648,"parcial",Catálogo!$Q$2:$Q$648,{1,2,3,4,5,6,7,8,9})&gt;0,0),0)&lt;IFERROR(MATCH(TRUE,COUNTIFS(Catálogo!$J$2:$J$648,"*"&amp;$A20&amp;"*",Catálogo!$I$2:$I$648,"&lt;&gt;ausente",Catálogo!$M$2:$M$648,"completa",Catálogo!$Q$2:$Q$648,{1,2,3,4,5,6,7,8,9})&gt;0,0),0)),"; "&amp;LOWER(INDEX(Niveles!$C$2:$C$10,IFERROR(MATCH(TRUE,COUNTIFS(Catálogo!$J$2:$J$648,"*"&amp;$A20&amp;"*",Catálogo!$I$2:$I$648,"&lt;&gt;ausente",Catálogo!$M$2:$M$648,"parcial",Catálogo!$Q$2:$Q$648,{1,2,3,4,5,6,7,8,9})&gt;0,0),0)))&amp;" (parcial)",""),IF(IFERROR(MATCH(TRUE,COUNTIFS(Catálogo!$J$2:$J$648,"*"&amp;$A20&amp;"*",Catálogo!$I$2:$I$648,"&lt;&gt;ausente",Catálogo!$M$2:$M$648,"parcial",Catálogo!$Q$2:$Q$648,{1,2,3,4,5,6,7,8,9})&gt;0,0),0)&gt;0,INDEX(Niveles!$C$2:$C$10,IFERROR(MATCH(TRUE,COUNTIFS(Catálogo!$J$2:$J$648,"*"&amp;$A20&amp;"*",Catálogo!$I$2:$I$648,"&lt;&gt;ausente",Catálogo!$M$2:$M$648,"parcial",Catálogo!$Q$2:$Q$648,{1,2,3,4,5,6,7,8,9})&gt;0,0),0))&amp;" (parcial)","—"))</f>
        <v>Comuna</v>
      </c>
      <c r="O20" s="8" t="str">
        <f>IF(COUNTIFS(Cifras!$A$2:$A$399,$A20,Cifras!$E$2:$E$399,"Sí",Cifras!$D$2:$D$399,"distrito")&gt;0,"Distrito",IF(COUNTIFS(Cifras!$A$2:$A$399,$A20,Cifras!$E$2:$E$399,"Sí",Cifras!$D$2:$D$399,"comuna")&gt;0,"Comuna",IF(COUNTIFS(Cifras!$A$2:$A$399,$A20,Cifras!$E$2:$E$399,"Sí",Cifras!$D$2:$D$399,"partido")&gt;0,"Partido",IF(COUNTIFS(Cifras!$A$2:$A$399,$A20,Cifras!$E$2:$E$399,"Sí",Cifras!$D$2:$D$399,"departamento")&gt;0,"Departamento",IF(COUNTIFS(Cifras!$A$2:$A$399,$A20,Cifras!$E$2:$E$399,"Sí",Cifras!$D$2:$D$399,"provincia")&gt;0,"Provincia",IF(COUNTIFS(Cifras!$A$2:$A$399,$A20,Cifras!$E$2:$E$399,"Sí",Cifras!$D$2:$D$399,"region")&gt;0,"Región",IF(COUNTIFS(Cifras!$A$2:$A$399,$A20,Cifras!$E$2:$E$399,"Sí",Cifras!$D$2:$D$399,"pais")&gt;0,"País","—")))))))</f>
        <v>Comuna</v>
      </c>
      <c r="P20" s="9" t="str">
        <f>IF(IFERROR(MATCH(TRUE,COUNTIFS(Catálogo!$J$2:$J$648,"*"&amp;$A20&amp;"*",Catálogo!$I$2:$I$648,"&lt;&gt;ausente",Catálogo!$M$2:$M$648,"completa",Catálogo!$L$2:$L$648,"*area*",Catálogo!$Q$2:$Q$648,{1,2,3,4,5,6,7,8,9})&gt;0,0),0)&gt;0,INDEX(Niveles!$C$2:$C$10,IFERROR(MATCH(TRUE,COUNTIFS(Catálogo!$J$2:$J$648,"*"&amp;$A20&amp;"*",Catálogo!$I$2:$I$648,"&lt;&gt;ausente",Catálogo!$M$2:$M$648,"completa",Catálogo!$L$2:$L$648,"*area*",Catálogo!$Q$2:$Q$648,{1,2,3,4,5,6,7,8,9})&gt;0,0),0))&amp;IF(AND(IFERROR(MATCH(TRUE,COUNTIFS(Catálogo!$J$2:$J$648,"*"&amp;$A20&amp;"*",Catálogo!$I$2:$I$648,"&lt;&gt;ausente",Catálogo!$M$2:$M$648,"parcial",Catálogo!$L$2:$L$648,"*area*",Catálogo!$Q$2:$Q$648,{1,2,3,4,5,6,7,8,9})&gt;0,0),0)&gt;0,IFERROR(MATCH(TRUE,COUNTIFS(Catálogo!$J$2:$J$648,"*"&amp;$A20&amp;"*",Catálogo!$I$2:$I$648,"&lt;&gt;ausente",Catálogo!$M$2:$M$648,"parcial",Catálogo!$L$2:$L$648,"*area*",Catálogo!$Q$2:$Q$648,{1,2,3,4,5,6,7,8,9})&gt;0,0),0)&lt;IFERROR(MATCH(TRUE,COUNTIFS(Catálogo!$J$2:$J$648,"*"&amp;$A20&amp;"*",Catálogo!$I$2:$I$648,"&lt;&gt;ausente",Catálogo!$M$2:$M$648,"completa",Catálogo!$L$2:$L$648,"*area*",Catálogo!$Q$2:$Q$648,{1,2,3,4,5,6,7,8,9})&gt;0,0),0)),"; "&amp;LOWER(INDEX(Niveles!$C$2:$C$10,IFERROR(MATCH(TRUE,COUNTIFS(Catálogo!$J$2:$J$648,"*"&amp;$A20&amp;"*",Catálogo!$I$2:$I$648,"&lt;&gt;ausente",Catálogo!$M$2:$M$648,"parcial",Catálogo!$L$2:$L$648,"*area*",Catálogo!$Q$2:$Q$648,{1,2,3,4,5,6,7,8,9})&gt;0,0),0)))&amp;" (parcial)",""),IF(IFERROR(MATCH(TRUE,COUNTIFS(Catálogo!$J$2:$J$648,"*"&amp;$A20&amp;"*",Catálogo!$I$2:$I$648,"&lt;&gt;ausente",Catálogo!$M$2:$M$648,"parcial",Catálogo!$L$2:$L$648,"*area*",Catálogo!$Q$2:$Q$648,{1,2,3,4,5,6,7,8,9})&gt;0,0),0)&gt;0,INDEX(Niveles!$C$2:$C$10,IFERROR(MATCH(TRUE,COUNTIFS(Catálogo!$J$2:$J$648,"*"&amp;$A20&amp;"*",Catálogo!$I$2:$I$648,"&lt;&gt;ausente",Catálogo!$M$2:$M$648,"parcial",Catálogo!$L$2:$L$648,"*area*",Catálogo!$Q$2:$Q$648,{1,2,3,4,5,6,7,8,9})&gt;0,0),0))&amp;" (parcial)","—"))</f>
        <v>Comuna</v>
      </c>
      <c r="Q20" s="8" t="str">
        <f>IF(COUNTIFS(Cifras!$A$2:$A$399,$A20,Cifras!$E$2:$E$399,"Sí",Cifras!$F$2:$F$399,"Sí",Cifras!$D$2:$D$399,"distrito")&gt;0,"Distrito",IF(COUNTIFS(Cifras!$A$2:$A$399,$A20,Cifras!$E$2:$E$399,"Sí",Cifras!$F$2:$F$399,"Sí",Cifras!$D$2:$D$399,"comuna")&gt;0,"Comuna",IF(COUNTIFS(Cifras!$A$2:$A$399,$A20,Cifras!$E$2:$E$399,"Sí",Cifras!$F$2:$F$399,"Sí",Cifras!$D$2:$D$399,"partido")&gt;0,"Partido",IF(COUNTIFS(Cifras!$A$2:$A$399,$A20,Cifras!$E$2:$E$399,"Sí",Cifras!$F$2:$F$399,"Sí",Cifras!$D$2:$D$399,"departamento")&gt;0,"Departamento",IF(COUNTIFS(Cifras!$A$2:$A$399,$A20,Cifras!$E$2:$E$399,"Sí",Cifras!$F$2:$F$399,"Sí",Cifras!$D$2:$D$399,"provincia")&gt;0,"Provincia",IF(COUNTIFS(Cifras!$A$2:$A$399,$A20,Cifras!$E$2:$E$399,"Sí",Cifras!$F$2:$F$399,"Sí",Cifras!$D$2:$D$399,"region")&gt;0,"Región",IF(COUNTIFS(Cifras!$A$2:$A$399,$A20,Cifras!$E$2:$E$399,"Sí",Cifras!$F$2:$F$399,"Sí",Cifras!$D$2:$D$399,"pais")&gt;0,"País","—")))))))</f>
        <v>Comuna</v>
      </c>
      <c r="R20" s="9" t="str">
        <f>IF(IFERROR(MATCH(TRUE,COUNTIFS(Catálogo!$J$2:$J$648,"*"&amp;$A20&amp;"*",Catálogo!$I$2:$I$648,"&lt;&gt;ausente",Catálogo!$M$2:$M$648,"completa",Catálogo!$L$2:$L$648,"*area*",Catálogo!$L$2:$L$648,"*sexo*",Catálogo!$Q$2:$Q$648,{1,2,3,4,5,6,7,8,9})&gt;0,0),0)&gt;0,INDEX(Niveles!$C$2:$C$10,IFERROR(MATCH(TRUE,COUNTIFS(Catálogo!$J$2:$J$648,"*"&amp;$A20&amp;"*",Catálogo!$I$2:$I$648,"&lt;&gt;ausente",Catálogo!$M$2:$M$648,"completa",Catálogo!$L$2:$L$648,"*area*",Catálogo!$L$2:$L$648,"*sexo*",Catálogo!$Q$2:$Q$648,{1,2,3,4,5,6,7,8,9})&gt;0,0),0))&amp;IF(AND(IFERROR(MATCH(TRUE,COUNTIFS(Catálogo!$J$2:$J$648,"*"&amp;$A20&amp;"*",Catálogo!$I$2:$I$648,"&lt;&gt;ausente",Catálogo!$M$2:$M$648,"parcial",Catálogo!$L$2:$L$648,"*area*",Catálogo!$L$2:$L$648,"*sexo*",Catálogo!$Q$2:$Q$648,{1,2,3,4,5,6,7,8,9})&gt;0,0),0)&gt;0,IFERROR(MATCH(TRUE,COUNTIFS(Catálogo!$J$2:$J$648,"*"&amp;$A20&amp;"*",Catálogo!$I$2:$I$648,"&lt;&gt;ausente",Catálogo!$M$2:$M$648,"parcial",Catálogo!$L$2:$L$648,"*area*",Catálogo!$L$2:$L$648,"*sexo*",Catálogo!$Q$2:$Q$648,{1,2,3,4,5,6,7,8,9})&gt;0,0),0)&lt;IFERROR(MATCH(TRUE,COUNTIFS(Catálogo!$J$2:$J$648,"*"&amp;$A20&amp;"*",Catálogo!$I$2:$I$648,"&lt;&gt;ausente",Catálogo!$M$2:$M$648,"completa",Catálogo!$L$2:$L$648,"*area*",Catálogo!$L$2:$L$648,"*sexo*",Catálogo!$Q$2:$Q$648,{1,2,3,4,5,6,7,8,9})&gt;0,0),0)),"; "&amp;LOWER(INDEX(Niveles!$C$2:$C$10,IFERROR(MATCH(TRUE,COUNTIFS(Catálogo!$J$2:$J$648,"*"&amp;$A20&amp;"*",Catálogo!$I$2:$I$648,"&lt;&gt;ausente",Catálogo!$M$2:$M$648,"parcial",Catálogo!$L$2:$L$648,"*area*",Catálogo!$L$2:$L$648,"*sexo*",Catálogo!$Q$2:$Q$648,{1,2,3,4,5,6,7,8,9})&gt;0,0),0)))&amp;" (parcial)",""),IF(IFERROR(MATCH(TRUE,COUNTIFS(Catálogo!$J$2:$J$648,"*"&amp;$A20&amp;"*",Catálogo!$I$2:$I$648,"&lt;&gt;ausente",Catálogo!$M$2:$M$648,"parcial",Catálogo!$L$2:$L$648,"*area*",Catálogo!$L$2:$L$648,"*sexo*",Catálogo!$Q$2:$Q$648,{1,2,3,4,5,6,7,8,9})&gt;0,0),0)&gt;0,INDEX(Niveles!$C$2:$C$10,IFERROR(MATCH(TRUE,COUNTIFS(Catálogo!$J$2:$J$648,"*"&amp;$A20&amp;"*",Catálogo!$I$2:$I$648,"&lt;&gt;ausente",Catálogo!$M$2:$M$648,"parcial",Catálogo!$L$2:$L$648,"*area*",Catálogo!$L$2:$L$648,"*sexo*",Catálogo!$Q$2:$Q$648,{1,2,3,4,5,6,7,8,9})&gt;0,0),0))&amp;" (parcial)","—"))</f>
        <v>Comuna</v>
      </c>
      <c r="S20" s="8" t="str">
        <f>IF(COUNTIFS(Cifras!$A$2:$A$399,$A20,Cifras!$F$2:$F$399,"Sí",Cifras!$G$2:$G$399,"Sí",Cifras!$D$2:$D$399,"distrito")&gt;0,"Distrito",IF(COUNTIFS(Cifras!$A$2:$A$399,$A20,Cifras!$F$2:$F$399,"Sí",Cifras!$G$2:$G$399,"Sí",Cifras!$D$2:$D$399,"comuna")&gt;0,"Comuna",IF(COUNTIFS(Cifras!$A$2:$A$399,$A20,Cifras!$F$2:$F$399,"Sí",Cifras!$G$2:$G$399,"Sí",Cifras!$D$2:$D$399,"partido")&gt;0,"Partido",IF(COUNTIFS(Cifras!$A$2:$A$399,$A20,Cifras!$F$2:$F$399,"Sí",Cifras!$G$2:$G$399,"Sí",Cifras!$D$2:$D$399,"departamento")&gt;0,"Departamento",IF(COUNTIFS(Cifras!$A$2:$A$399,$A20,Cifras!$F$2:$F$399,"Sí",Cifras!$G$2:$G$399,"Sí",Cifras!$D$2:$D$399,"provincia")&gt;0,"Provincia",IF(COUNTIFS(Cifras!$A$2:$A$399,$A20,Cifras!$F$2:$F$399,"Sí",Cifras!$G$2:$G$399,"Sí",Cifras!$D$2:$D$399,"region")&gt;0,"Región",IF(COUNTIFS(Cifras!$A$2:$A$399,$A20,Cifras!$F$2:$F$399,"Sí",Cifras!$G$2:$G$399,"Sí",Cifras!$D$2:$D$399,"pais")&gt;0,"País","—")))))))</f>
        <v>País</v>
      </c>
      <c r="T20" s="9" t="str">
        <f>IF(IFERROR(MATCH(TRUE,COUNTIFS(Catálogo!$J$2:$J$648,"*"&amp;$A20&amp;"*",Catálogo!$I$2:$I$648,"&lt;&gt;ausente",Catálogo!$M$2:$M$648,"completa",Catálogo!$L$2:$L$648,"*sexo*",Catálogo!$L$2:$L$648,"*edad*",Catálogo!$Q$2:$Q$648,{1,2,3,4,5,6,7,8,9})&gt;0,0),0)&gt;0,INDEX(Niveles!$C$2:$C$10,IFERROR(MATCH(TRUE,COUNTIFS(Catálogo!$J$2:$J$648,"*"&amp;$A20&amp;"*",Catálogo!$I$2:$I$648,"&lt;&gt;ausente",Catálogo!$M$2:$M$648,"completa",Catálogo!$L$2:$L$648,"*sexo*",Catálogo!$L$2:$L$648,"*edad*",Catálogo!$Q$2:$Q$648,{1,2,3,4,5,6,7,8,9})&gt;0,0),0))&amp;IF(AND(IFERROR(MATCH(TRUE,COUNTIFS(Catálogo!$J$2:$J$648,"*"&amp;$A20&amp;"*",Catálogo!$I$2:$I$648,"&lt;&gt;ausente",Catálogo!$M$2:$M$648,"parcial",Catálogo!$L$2:$L$648,"*sexo*",Catálogo!$L$2:$L$648,"*edad*",Catálogo!$Q$2:$Q$648,{1,2,3,4,5,6,7,8,9})&gt;0,0),0)&gt;0,IFERROR(MATCH(TRUE,COUNTIFS(Catálogo!$J$2:$J$648,"*"&amp;$A20&amp;"*",Catálogo!$I$2:$I$648,"&lt;&gt;ausente",Catálogo!$M$2:$M$648,"parcial",Catálogo!$L$2:$L$648,"*sexo*",Catálogo!$L$2:$L$648,"*edad*",Catálogo!$Q$2:$Q$648,{1,2,3,4,5,6,7,8,9})&gt;0,0),0)&lt;IFERROR(MATCH(TRUE,COUNTIFS(Catálogo!$J$2:$J$648,"*"&amp;$A20&amp;"*",Catálogo!$I$2:$I$648,"&lt;&gt;ausente",Catálogo!$M$2:$M$648,"completa",Catálogo!$L$2:$L$648,"*sexo*",Catálogo!$L$2:$L$648,"*edad*",Catálogo!$Q$2:$Q$648,{1,2,3,4,5,6,7,8,9})&gt;0,0),0)),"; "&amp;LOWER(INDEX(Niveles!$C$2:$C$10,IFERROR(MATCH(TRUE,COUNTIFS(Catálogo!$J$2:$J$648,"*"&amp;$A20&amp;"*",Catálogo!$I$2:$I$648,"&lt;&gt;ausente",Catálogo!$M$2:$M$648,"parcial",Catálogo!$L$2:$L$648,"*sexo*",Catálogo!$L$2:$L$648,"*edad*",Catálogo!$Q$2:$Q$648,{1,2,3,4,5,6,7,8,9})&gt;0,0),0)))&amp;" (parcial)",""),IF(IFERROR(MATCH(TRUE,COUNTIFS(Catálogo!$J$2:$J$648,"*"&amp;$A20&amp;"*",Catálogo!$I$2:$I$648,"&lt;&gt;ausente",Catálogo!$M$2:$M$648,"parcial",Catálogo!$L$2:$L$648,"*sexo*",Catálogo!$L$2:$L$648,"*edad*",Catálogo!$Q$2:$Q$648,{1,2,3,4,5,6,7,8,9})&gt;0,0),0)&gt;0,INDEX(Niveles!$C$2:$C$10,IFERROR(MATCH(TRUE,COUNTIFS(Catálogo!$J$2:$J$648,"*"&amp;$A20&amp;"*",Catálogo!$I$2:$I$648,"&lt;&gt;ausente",Catálogo!$M$2:$M$648,"parcial",Catálogo!$L$2:$L$648,"*sexo*",Catálogo!$L$2:$L$648,"*edad*",Catálogo!$Q$2:$Q$648,{1,2,3,4,5,6,7,8,9})&gt;0,0),0))&amp;" (parcial)","—"))</f>
        <v>País</v>
      </c>
      <c r="U20" s="7">
        <f>SUMIFS(Cifras!$J$2:$J$399,Cifras!$A$2:$A$399,$A20)</f>
        <v>0</v>
      </c>
      <c r="V20" s="14" t="s">
        <v>44</v>
      </c>
      <c r="W20" s="11" t="s">
        <v>76</v>
      </c>
      <c r="X20" s="11" t="s">
        <v>77</v>
      </c>
    </row>
    <row r="21" spans="1:24" x14ac:dyDescent="0.25">
      <c r="A21" s="16" t="s">
        <v>78</v>
      </c>
      <c r="C21" s="17">
        <f t="shared" ref="C21:L21" si="0">SUM(C5:C20)</f>
        <v>12342</v>
      </c>
      <c r="D21" s="17">
        <f t="shared" si="0"/>
        <v>638</v>
      </c>
      <c r="E21" s="17">
        <f t="shared" si="0"/>
        <v>427</v>
      </c>
      <c r="F21" s="17">
        <f t="shared" si="0"/>
        <v>133</v>
      </c>
      <c r="G21" s="17">
        <f t="shared" si="0"/>
        <v>78</v>
      </c>
      <c r="H21" s="17">
        <f t="shared" si="0"/>
        <v>224</v>
      </c>
      <c r="I21" s="17">
        <f t="shared" si="0"/>
        <v>393</v>
      </c>
      <c r="J21" s="17">
        <f t="shared" si="0"/>
        <v>21</v>
      </c>
      <c r="K21" s="17">
        <f t="shared" si="0"/>
        <v>60</v>
      </c>
      <c r="L21" s="17">
        <f t="shared" si="0"/>
        <v>54465</v>
      </c>
      <c r="U21" s="17">
        <f>SUM(U5:U20)</f>
        <v>132</v>
      </c>
    </row>
    <row r="22" spans="1:24" x14ac:dyDescent="0.25">
      <c r="A22" s="2" t="s">
        <v>79</v>
      </c>
    </row>
    <row r="23" spans="1:24" x14ac:dyDescent="0.25">
      <c r="A23" s="2" t="s">
        <v>80</v>
      </c>
    </row>
    <row r="24" spans="1:24" x14ac:dyDescent="0.25">
      <c r="A24" s="16" t="s">
        <v>81</v>
      </c>
    </row>
    <row r="25" spans="1:24" x14ac:dyDescent="0.25">
      <c r="A25" s="27" t="s">
        <v>44</v>
      </c>
      <c r="B25" s="26"/>
      <c r="C25" s="26"/>
      <c r="D25" s="18" t="s">
        <v>82</v>
      </c>
    </row>
    <row r="26" spans="1:24" x14ac:dyDescent="0.25">
      <c r="A26" s="31" t="s">
        <v>66</v>
      </c>
      <c r="B26" s="26"/>
      <c r="C26" s="26"/>
      <c r="D26" s="18" t="s">
        <v>83</v>
      </c>
    </row>
    <row r="27" spans="1:24" x14ac:dyDescent="0.25">
      <c r="A27" s="28" t="s">
        <v>27</v>
      </c>
      <c r="B27" s="26"/>
      <c r="C27" s="26"/>
      <c r="D27" s="18" t="s">
        <v>84</v>
      </c>
    </row>
    <row r="28" spans="1:24" x14ac:dyDescent="0.25">
      <c r="A28" s="25" t="s">
        <v>40</v>
      </c>
      <c r="B28" s="26"/>
      <c r="C28" s="26"/>
      <c r="D28" s="18" t="s">
        <v>85</v>
      </c>
    </row>
    <row r="29" spans="1:24" x14ac:dyDescent="0.25">
      <c r="A29" s="30" t="s">
        <v>86</v>
      </c>
      <c r="B29" s="26"/>
      <c r="C29" s="26"/>
      <c r="D29" s="18" t="s">
        <v>87</v>
      </c>
    </row>
    <row r="30" spans="1:24" x14ac:dyDescent="0.25">
      <c r="A30" s="29" t="s">
        <v>34</v>
      </c>
      <c r="B30" s="26"/>
      <c r="C30" s="26"/>
      <c r="D30" s="18" t="s">
        <v>88</v>
      </c>
    </row>
  </sheetData>
  <mergeCells count="6">
    <mergeCell ref="A28:C28"/>
    <mergeCell ref="A25:C25"/>
    <mergeCell ref="A27:C27"/>
    <mergeCell ref="A30:C30"/>
    <mergeCell ref="A29:C29"/>
    <mergeCell ref="A26:C26"/>
  </mergeCells>
  <conditionalFormatting sqref="M5:T20">
    <cfRule type="expression" dxfId="0" priority="1">
      <formula>M5="—"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9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8" customWidth="1"/>
    <col min="2" max="2" width="14" customWidth="1"/>
    <col min="3" max="3" width="9" customWidth="1"/>
    <col min="4" max="4" width="16" customWidth="1"/>
    <col min="5" max="9" width="10" customWidth="1"/>
    <col min="10" max="10" width="14" customWidth="1"/>
  </cols>
  <sheetData>
    <row r="1" spans="1:10" ht="42" customHeight="1" x14ac:dyDescent="0.25">
      <c r="A1" s="3" t="s">
        <v>2</v>
      </c>
      <c r="B1" s="3" t="s">
        <v>89</v>
      </c>
      <c r="C1" s="3" t="s">
        <v>90</v>
      </c>
      <c r="D1" s="3" t="s">
        <v>91</v>
      </c>
      <c r="E1" s="3" t="s">
        <v>92</v>
      </c>
      <c r="F1" s="3" t="s">
        <v>93</v>
      </c>
      <c r="G1" s="3" t="s">
        <v>94</v>
      </c>
      <c r="H1" s="3" t="s">
        <v>95</v>
      </c>
      <c r="I1" s="3" t="s">
        <v>96</v>
      </c>
      <c r="J1" s="3" t="s">
        <v>97</v>
      </c>
    </row>
    <row r="2" spans="1:10" x14ac:dyDescent="0.25">
      <c r="A2" s="18">
        <v>1813</v>
      </c>
      <c r="B2" s="18" t="s">
        <v>26</v>
      </c>
      <c r="C2" s="18" t="s">
        <v>98</v>
      </c>
      <c r="D2" s="18" t="s">
        <v>99</v>
      </c>
      <c r="E2" s="18" t="s">
        <v>100</v>
      </c>
      <c r="F2" s="18" t="s">
        <v>100</v>
      </c>
      <c r="G2" s="18" t="s">
        <v>100</v>
      </c>
      <c r="H2" s="19">
        <v>14</v>
      </c>
      <c r="I2" s="19">
        <v>14</v>
      </c>
      <c r="J2" s="19">
        <v>0</v>
      </c>
    </row>
    <row r="3" spans="1:10" x14ac:dyDescent="0.25">
      <c r="A3" s="18">
        <v>1813</v>
      </c>
      <c r="B3" s="18" t="s">
        <v>26</v>
      </c>
      <c r="C3" s="18" t="s">
        <v>98</v>
      </c>
      <c r="D3" s="18" t="s">
        <v>99</v>
      </c>
      <c r="E3" s="18" t="s">
        <v>100</v>
      </c>
      <c r="F3" s="18" t="s">
        <v>101</v>
      </c>
      <c r="G3" s="18" t="s">
        <v>100</v>
      </c>
      <c r="H3" s="19">
        <v>112</v>
      </c>
      <c r="I3" s="19">
        <v>112</v>
      </c>
      <c r="J3" s="19">
        <v>0</v>
      </c>
    </row>
    <row r="4" spans="1:10" x14ac:dyDescent="0.25">
      <c r="A4" s="18">
        <v>1813</v>
      </c>
      <c r="B4" s="18" t="s">
        <v>26</v>
      </c>
      <c r="C4" s="18" t="s">
        <v>98</v>
      </c>
      <c r="D4" s="18" t="s">
        <v>99</v>
      </c>
      <c r="E4" s="18" t="s">
        <v>100</v>
      </c>
      <c r="F4" s="18" t="s">
        <v>101</v>
      </c>
      <c r="G4" s="18" t="s">
        <v>101</v>
      </c>
      <c r="H4" s="19">
        <v>140</v>
      </c>
      <c r="I4" s="19">
        <v>140</v>
      </c>
      <c r="J4" s="19">
        <v>0</v>
      </c>
    </row>
    <row r="5" spans="1:10" x14ac:dyDescent="0.25">
      <c r="A5" s="18">
        <v>1813</v>
      </c>
      <c r="B5" s="18" t="s">
        <v>26</v>
      </c>
      <c r="C5" s="18" t="s">
        <v>102</v>
      </c>
      <c r="D5" s="18" t="s">
        <v>103</v>
      </c>
      <c r="E5" s="18" t="s">
        <v>100</v>
      </c>
      <c r="F5" s="18" t="s">
        <v>101</v>
      </c>
      <c r="G5" s="18" t="s">
        <v>100</v>
      </c>
      <c r="H5" s="19">
        <v>302</v>
      </c>
      <c r="I5" s="19">
        <v>302</v>
      </c>
      <c r="J5" s="19">
        <v>0</v>
      </c>
    </row>
    <row r="6" spans="1:10" x14ac:dyDescent="0.25">
      <c r="A6" s="18">
        <v>1813</v>
      </c>
      <c r="B6" s="18" t="s">
        <v>26</v>
      </c>
      <c r="C6" s="18" t="s">
        <v>102</v>
      </c>
      <c r="D6" s="18" t="s">
        <v>99</v>
      </c>
      <c r="E6" s="18" t="s">
        <v>100</v>
      </c>
      <c r="F6" s="18" t="s">
        <v>101</v>
      </c>
      <c r="G6" s="18" t="s">
        <v>100</v>
      </c>
      <c r="H6" s="19">
        <v>28</v>
      </c>
      <c r="I6" s="19">
        <v>28</v>
      </c>
      <c r="J6" s="19">
        <v>0</v>
      </c>
    </row>
    <row r="7" spans="1:10" x14ac:dyDescent="0.25">
      <c r="A7" s="18">
        <v>1835</v>
      </c>
      <c r="B7" s="18" t="s">
        <v>30</v>
      </c>
      <c r="C7" s="18" t="s">
        <v>104</v>
      </c>
      <c r="D7" s="18" t="s">
        <v>105</v>
      </c>
      <c r="E7" s="18" t="s">
        <v>100</v>
      </c>
      <c r="F7" s="18" t="s">
        <v>100</v>
      </c>
      <c r="G7" s="18" t="s">
        <v>100</v>
      </c>
      <c r="H7" s="19">
        <v>50</v>
      </c>
      <c r="I7" s="19">
        <v>50</v>
      </c>
      <c r="J7" s="19">
        <v>1</v>
      </c>
    </row>
    <row r="8" spans="1:10" x14ac:dyDescent="0.25">
      <c r="A8" s="18">
        <v>1835</v>
      </c>
      <c r="B8" s="18" t="s">
        <v>30</v>
      </c>
      <c r="C8" s="18" t="s">
        <v>104</v>
      </c>
      <c r="D8" s="18" t="s">
        <v>105</v>
      </c>
      <c r="E8" s="18" t="s">
        <v>100</v>
      </c>
      <c r="F8" s="18" t="s">
        <v>101</v>
      </c>
      <c r="G8" s="18" t="s">
        <v>100</v>
      </c>
      <c r="H8" s="19">
        <v>200</v>
      </c>
      <c r="I8" s="19">
        <v>196</v>
      </c>
      <c r="J8" s="19">
        <v>0</v>
      </c>
    </row>
    <row r="9" spans="1:10" x14ac:dyDescent="0.25">
      <c r="A9" s="18">
        <v>1835</v>
      </c>
      <c r="B9" s="18" t="s">
        <v>30</v>
      </c>
      <c r="C9" s="18" t="s">
        <v>104</v>
      </c>
      <c r="D9" s="18" t="s">
        <v>106</v>
      </c>
      <c r="E9" s="18" t="s">
        <v>100</v>
      </c>
      <c r="F9" s="18" t="s">
        <v>100</v>
      </c>
      <c r="G9" s="18" t="s">
        <v>100</v>
      </c>
      <c r="H9" s="19">
        <v>9</v>
      </c>
      <c r="I9" s="19">
        <v>9</v>
      </c>
      <c r="J9" s="19">
        <v>1</v>
      </c>
    </row>
    <row r="10" spans="1:10" x14ac:dyDescent="0.25">
      <c r="A10" s="18">
        <v>1835</v>
      </c>
      <c r="B10" s="18" t="s">
        <v>30</v>
      </c>
      <c r="C10" s="18" t="s">
        <v>104</v>
      </c>
      <c r="D10" s="18" t="s">
        <v>106</v>
      </c>
      <c r="E10" s="18" t="s">
        <v>100</v>
      </c>
      <c r="F10" s="18" t="s">
        <v>101</v>
      </c>
      <c r="G10" s="18" t="s">
        <v>100</v>
      </c>
      <c r="H10" s="19">
        <v>36</v>
      </c>
      <c r="I10" s="19">
        <v>0</v>
      </c>
      <c r="J10" s="19">
        <v>0</v>
      </c>
    </row>
    <row r="11" spans="1:10" x14ac:dyDescent="0.25">
      <c r="A11" s="18">
        <v>1835</v>
      </c>
      <c r="B11" s="18" t="s">
        <v>39</v>
      </c>
      <c r="C11" s="18" t="s">
        <v>107</v>
      </c>
      <c r="D11" s="18" t="s">
        <v>105</v>
      </c>
      <c r="E11" s="18" t="s">
        <v>100</v>
      </c>
      <c r="F11" s="18" t="s">
        <v>100</v>
      </c>
      <c r="G11" s="18" t="s">
        <v>100</v>
      </c>
      <c r="H11" s="19">
        <v>53</v>
      </c>
      <c r="I11" s="19">
        <v>44</v>
      </c>
      <c r="J11" s="19">
        <v>0</v>
      </c>
    </row>
    <row r="12" spans="1:10" x14ac:dyDescent="0.25">
      <c r="A12" s="18">
        <v>1835</v>
      </c>
      <c r="B12" s="18" t="s">
        <v>39</v>
      </c>
      <c r="C12" s="18" t="s">
        <v>107</v>
      </c>
      <c r="D12" s="18" t="s">
        <v>108</v>
      </c>
      <c r="E12" s="18" t="s">
        <v>100</v>
      </c>
      <c r="F12" s="18" t="s">
        <v>100</v>
      </c>
      <c r="G12" s="18" t="s">
        <v>100</v>
      </c>
      <c r="H12" s="19">
        <v>2</v>
      </c>
      <c r="I12" s="19">
        <v>2</v>
      </c>
      <c r="J12" s="19">
        <v>0</v>
      </c>
    </row>
    <row r="13" spans="1:10" x14ac:dyDescent="0.25">
      <c r="A13" s="18">
        <v>1835</v>
      </c>
      <c r="B13" s="18" t="s">
        <v>39</v>
      </c>
      <c r="C13" s="18" t="s">
        <v>107</v>
      </c>
      <c r="D13" s="18" t="s">
        <v>106</v>
      </c>
      <c r="E13" s="18" t="s">
        <v>100</v>
      </c>
      <c r="F13" s="18" t="s">
        <v>100</v>
      </c>
      <c r="G13" s="18" t="s">
        <v>100</v>
      </c>
      <c r="H13" s="19">
        <v>9</v>
      </c>
      <c r="I13" s="19">
        <v>9</v>
      </c>
      <c r="J13" s="19">
        <v>0</v>
      </c>
    </row>
    <row r="14" spans="1:10" x14ac:dyDescent="0.25">
      <c r="A14" s="18">
        <v>1835</v>
      </c>
      <c r="B14" s="18" t="s">
        <v>43</v>
      </c>
      <c r="C14" s="18" t="s">
        <v>109</v>
      </c>
      <c r="D14" s="18" t="s">
        <v>105</v>
      </c>
      <c r="E14" s="18" t="s">
        <v>100</v>
      </c>
      <c r="F14" s="18" t="s">
        <v>100</v>
      </c>
      <c r="G14" s="18" t="s">
        <v>100</v>
      </c>
      <c r="H14" s="19">
        <v>60</v>
      </c>
      <c r="I14" s="19">
        <v>44</v>
      </c>
      <c r="J14" s="19">
        <v>0</v>
      </c>
    </row>
    <row r="15" spans="1:10" x14ac:dyDescent="0.25">
      <c r="A15" s="18">
        <v>1835</v>
      </c>
      <c r="B15" s="18" t="s">
        <v>43</v>
      </c>
      <c r="C15" s="18" t="s">
        <v>109</v>
      </c>
      <c r="D15" s="18" t="s">
        <v>108</v>
      </c>
      <c r="E15" s="18" t="s">
        <v>100</v>
      </c>
      <c r="F15" s="18" t="s">
        <v>100</v>
      </c>
      <c r="G15" s="18" t="s">
        <v>100</v>
      </c>
      <c r="H15" s="19">
        <v>2</v>
      </c>
      <c r="I15" s="19">
        <v>2</v>
      </c>
      <c r="J15" s="19">
        <v>0</v>
      </c>
    </row>
    <row r="16" spans="1:10" x14ac:dyDescent="0.25">
      <c r="A16" s="18">
        <v>1835</v>
      </c>
      <c r="B16" s="18" t="s">
        <v>43</v>
      </c>
      <c r="C16" s="18" t="s">
        <v>109</v>
      </c>
      <c r="D16" s="18" t="s">
        <v>106</v>
      </c>
      <c r="E16" s="18" t="s">
        <v>100</v>
      </c>
      <c r="F16" s="18" t="s">
        <v>100</v>
      </c>
      <c r="G16" s="18" t="s">
        <v>100</v>
      </c>
      <c r="H16" s="19">
        <v>9</v>
      </c>
      <c r="I16" s="19">
        <v>9</v>
      </c>
      <c r="J16" s="19">
        <v>0</v>
      </c>
    </row>
    <row r="17" spans="1:10" x14ac:dyDescent="0.25">
      <c r="A17" s="18">
        <v>1843</v>
      </c>
      <c r="B17" s="18" t="s">
        <v>39</v>
      </c>
      <c r="C17" s="18" t="s">
        <v>107</v>
      </c>
      <c r="D17" s="18" t="s">
        <v>105</v>
      </c>
      <c r="E17" s="18" t="s">
        <v>100</v>
      </c>
      <c r="F17" s="18" t="s">
        <v>100</v>
      </c>
      <c r="G17" s="18" t="s">
        <v>100</v>
      </c>
      <c r="H17" s="19">
        <v>53</v>
      </c>
      <c r="I17" s="19">
        <v>46</v>
      </c>
      <c r="J17" s="19">
        <v>0</v>
      </c>
    </row>
    <row r="18" spans="1:10" x14ac:dyDescent="0.25">
      <c r="A18" s="18">
        <v>1843</v>
      </c>
      <c r="B18" s="18" t="s">
        <v>39</v>
      </c>
      <c r="C18" s="18" t="s">
        <v>107</v>
      </c>
      <c r="D18" s="18" t="s">
        <v>108</v>
      </c>
      <c r="E18" s="18" t="s">
        <v>100</v>
      </c>
      <c r="F18" s="18" t="s">
        <v>100</v>
      </c>
      <c r="G18" s="18" t="s">
        <v>100</v>
      </c>
      <c r="H18" s="19">
        <v>2</v>
      </c>
      <c r="I18" s="19">
        <v>2</v>
      </c>
      <c r="J18" s="19">
        <v>0</v>
      </c>
    </row>
    <row r="19" spans="1:10" x14ac:dyDescent="0.25">
      <c r="A19" s="18">
        <v>1843</v>
      </c>
      <c r="B19" s="18" t="s">
        <v>39</v>
      </c>
      <c r="C19" s="18" t="s">
        <v>107</v>
      </c>
      <c r="D19" s="18" t="s">
        <v>106</v>
      </c>
      <c r="E19" s="18" t="s">
        <v>100</v>
      </c>
      <c r="F19" s="18" t="s">
        <v>100</v>
      </c>
      <c r="G19" s="18" t="s">
        <v>100</v>
      </c>
      <c r="H19" s="19">
        <v>10</v>
      </c>
      <c r="I19" s="19">
        <v>10</v>
      </c>
      <c r="J19" s="19">
        <v>0</v>
      </c>
    </row>
    <row r="20" spans="1:10" x14ac:dyDescent="0.25">
      <c r="A20" s="18">
        <v>1843</v>
      </c>
      <c r="B20" s="18" t="s">
        <v>43</v>
      </c>
      <c r="C20" s="18" t="s">
        <v>109</v>
      </c>
      <c r="D20" s="18" t="s">
        <v>105</v>
      </c>
      <c r="E20" s="18" t="s">
        <v>100</v>
      </c>
      <c r="F20" s="18" t="s">
        <v>100</v>
      </c>
      <c r="G20" s="18" t="s">
        <v>100</v>
      </c>
      <c r="H20" s="19">
        <v>60</v>
      </c>
      <c r="I20" s="19">
        <v>46</v>
      </c>
      <c r="J20" s="19">
        <v>0</v>
      </c>
    </row>
    <row r="21" spans="1:10" x14ac:dyDescent="0.25">
      <c r="A21" s="18">
        <v>1843</v>
      </c>
      <c r="B21" s="18" t="s">
        <v>43</v>
      </c>
      <c r="C21" s="18" t="s">
        <v>109</v>
      </c>
      <c r="D21" s="18" t="s">
        <v>108</v>
      </c>
      <c r="E21" s="18" t="s">
        <v>100</v>
      </c>
      <c r="F21" s="18" t="s">
        <v>100</v>
      </c>
      <c r="G21" s="18" t="s">
        <v>100</v>
      </c>
      <c r="H21" s="19">
        <v>2</v>
      </c>
      <c r="I21" s="19">
        <v>2</v>
      </c>
      <c r="J21" s="19">
        <v>0</v>
      </c>
    </row>
    <row r="22" spans="1:10" x14ac:dyDescent="0.25">
      <c r="A22" s="18">
        <v>1843</v>
      </c>
      <c r="B22" s="18" t="s">
        <v>43</v>
      </c>
      <c r="C22" s="18" t="s">
        <v>109</v>
      </c>
      <c r="D22" s="18" t="s">
        <v>106</v>
      </c>
      <c r="E22" s="18" t="s">
        <v>100</v>
      </c>
      <c r="F22" s="18" t="s">
        <v>100</v>
      </c>
      <c r="G22" s="18" t="s">
        <v>100</v>
      </c>
      <c r="H22" s="19">
        <v>10</v>
      </c>
      <c r="I22" s="19">
        <v>10</v>
      </c>
      <c r="J22" s="19">
        <v>0</v>
      </c>
    </row>
    <row r="23" spans="1:10" x14ac:dyDescent="0.25">
      <c r="A23" s="18">
        <v>1854</v>
      </c>
      <c r="B23" s="18" t="s">
        <v>39</v>
      </c>
      <c r="C23" s="18" t="s">
        <v>107</v>
      </c>
      <c r="D23" s="18" t="s">
        <v>105</v>
      </c>
      <c r="E23" s="18" t="s">
        <v>100</v>
      </c>
      <c r="F23" s="18" t="s">
        <v>100</v>
      </c>
      <c r="G23" s="18" t="s">
        <v>100</v>
      </c>
      <c r="H23" s="19">
        <v>53</v>
      </c>
      <c r="I23" s="19">
        <v>51</v>
      </c>
      <c r="J23" s="19">
        <v>0</v>
      </c>
    </row>
    <row r="24" spans="1:10" x14ac:dyDescent="0.25">
      <c r="A24" s="18">
        <v>1854</v>
      </c>
      <c r="B24" s="18" t="s">
        <v>39</v>
      </c>
      <c r="C24" s="18" t="s">
        <v>107</v>
      </c>
      <c r="D24" s="18" t="s">
        <v>108</v>
      </c>
      <c r="E24" s="18" t="s">
        <v>100</v>
      </c>
      <c r="F24" s="18" t="s">
        <v>100</v>
      </c>
      <c r="G24" s="18" t="s">
        <v>100</v>
      </c>
      <c r="H24" s="19">
        <v>2</v>
      </c>
      <c r="I24" s="19">
        <v>2</v>
      </c>
      <c r="J24" s="19">
        <v>0</v>
      </c>
    </row>
    <row r="25" spans="1:10" x14ac:dyDescent="0.25">
      <c r="A25" s="18">
        <v>1854</v>
      </c>
      <c r="B25" s="18" t="s">
        <v>39</v>
      </c>
      <c r="C25" s="18" t="s">
        <v>107</v>
      </c>
      <c r="D25" s="18" t="s">
        <v>106</v>
      </c>
      <c r="E25" s="18" t="s">
        <v>100</v>
      </c>
      <c r="F25" s="18" t="s">
        <v>100</v>
      </c>
      <c r="G25" s="18" t="s">
        <v>100</v>
      </c>
      <c r="H25" s="19">
        <v>15</v>
      </c>
      <c r="I25" s="19">
        <v>15</v>
      </c>
      <c r="J25" s="19">
        <v>0</v>
      </c>
    </row>
    <row r="26" spans="1:10" x14ac:dyDescent="0.25">
      <c r="A26" s="18">
        <v>1854</v>
      </c>
      <c r="B26" s="18" t="s">
        <v>43</v>
      </c>
      <c r="C26" s="18" t="s">
        <v>109</v>
      </c>
      <c r="D26" s="18" t="s">
        <v>105</v>
      </c>
      <c r="E26" s="18" t="s">
        <v>100</v>
      </c>
      <c r="F26" s="18" t="s">
        <v>100</v>
      </c>
      <c r="G26" s="18" t="s">
        <v>100</v>
      </c>
      <c r="H26" s="19">
        <v>60</v>
      </c>
      <c r="I26" s="19">
        <v>51</v>
      </c>
      <c r="J26" s="19">
        <v>0</v>
      </c>
    </row>
    <row r="27" spans="1:10" x14ac:dyDescent="0.25">
      <c r="A27" s="18">
        <v>1854</v>
      </c>
      <c r="B27" s="18" t="s">
        <v>43</v>
      </c>
      <c r="C27" s="18" t="s">
        <v>109</v>
      </c>
      <c r="D27" s="18" t="s">
        <v>108</v>
      </c>
      <c r="E27" s="18" t="s">
        <v>100</v>
      </c>
      <c r="F27" s="18" t="s">
        <v>100</v>
      </c>
      <c r="G27" s="18" t="s">
        <v>100</v>
      </c>
      <c r="H27" s="19">
        <v>2</v>
      </c>
      <c r="I27" s="19">
        <v>2</v>
      </c>
      <c r="J27" s="19">
        <v>0</v>
      </c>
    </row>
    <row r="28" spans="1:10" x14ac:dyDescent="0.25">
      <c r="A28" s="18">
        <v>1854</v>
      </c>
      <c r="B28" s="18" t="s">
        <v>43</v>
      </c>
      <c r="C28" s="18" t="s">
        <v>109</v>
      </c>
      <c r="D28" s="18" t="s">
        <v>106</v>
      </c>
      <c r="E28" s="18" t="s">
        <v>100</v>
      </c>
      <c r="F28" s="18" t="s">
        <v>100</v>
      </c>
      <c r="G28" s="18" t="s">
        <v>100</v>
      </c>
      <c r="H28" s="19">
        <v>15</v>
      </c>
      <c r="I28" s="19">
        <v>15</v>
      </c>
      <c r="J28" s="19">
        <v>0</v>
      </c>
    </row>
    <row r="29" spans="1:10" x14ac:dyDescent="0.25">
      <c r="A29" s="18">
        <v>1865</v>
      </c>
      <c r="B29" s="18" t="s">
        <v>39</v>
      </c>
      <c r="C29" s="18" t="s">
        <v>110</v>
      </c>
      <c r="D29" s="18" t="s">
        <v>105</v>
      </c>
      <c r="E29" s="18" t="s">
        <v>100</v>
      </c>
      <c r="F29" s="18" t="s">
        <v>100</v>
      </c>
      <c r="G29" s="18" t="s">
        <v>100</v>
      </c>
      <c r="H29" s="19">
        <v>53</v>
      </c>
      <c r="I29" s="19">
        <v>53</v>
      </c>
      <c r="J29" s="19">
        <v>0</v>
      </c>
    </row>
    <row r="30" spans="1:10" x14ac:dyDescent="0.25">
      <c r="A30" s="18">
        <v>1865</v>
      </c>
      <c r="B30" s="18" t="s">
        <v>39</v>
      </c>
      <c r="C30" s="18" t="s">
        <v>110</v>
      </c>
      <c r="D30" s="18" t="s">
        <v>105</v>
      </c>
      <c r="E30" s="18" t="s">
        <v>100</v>
      </c>
      <c r="F30" s="18" t="s">
        <v>101</v>
      </c>
      <c r="G30" s="18" t="s">
        <v>100</v>
      </c>
      <c r="H30" s="19">
        <v>106</v>
      </c>
      <c r="I30" s="19">
        <v>106</v>
      </c>
      <c r="J30" s="19">
        <v>0</v>
      </c>
    </row>
    <row r="31" spans="1:10" x14ac:dyDescent="0.25">
      <c r="A31" s="18">
        <v>1865</v>
      </c>
      <c r="B31" s="18" t="s">
        <v>39</v>
      </c>
      <c r="C31" s="18" t="s">
        <v>110</v>
      </c>
      <c r="D31" s="18" t="s">
        <v>105</v>
      </c>
      <c r="E31" s="18" t="s">
        <v>100</v>
      </c>
      <c r="F31" s="18" t="s">
        <v>101</v>
      </c>
      <c r="G31" s="18" t="s">
        <v>101</v>
      </c>
      <c r="H31" s="19">
        <v>636</v>
      </c>
      <c r="I31" s="19">
        <v>634</v>
      </c>
      <c r="J31" s="19">
        <v>2</v>
      </c>
    </row>
    <row r="32" spans="1:10" x14ac:dyDescent="0.25">
      <c r="A32" s="18">
        <v>1865</v>
      </c>
      <c r="B32" s="18" t="s">
        <v>39</v>
      </c>
      <c r="C32" s="18" t="s">
        <v>110</v>
      </c>
      <c r="D32" s="18" t="s">
        <v>108</v>
      </c>
      <c r="E32" s="18" t="s">
        <v>100</v>
      </c>
      <c r="F32" s="18" t="s">
        <v>100</v>
      </c>
      <c r="G32" s="18" t="s">
        <v>100</v>
      </c>
      <c r="H32" s="19">
        <v>1</v>
      </c>
      <c r="I32" s="19">
        <v>1</v>
      </c>
      <c r="J32" s="19">
        <v>0</v>
      </c>
    </row>
    <row r="33" spans="1:10" x14ac:dyDescent="0.25">
      <c r="A33" s="18">
        <v>1865</v>
      </c>
      <c r="B33" s="18" t="s">
        <v>39</v>
      </c>
      <c r="C33" s="18" t="s">
        <v>110</v>
      </c>
      <c r="D33" s="18" t="s">
        <v>108</v>
      </c>
      <c r="E33" s="18" t="s">
        <v>100</v>
      </c>
      <c r="F33" s="18" t="s">
        <v>101</v>
      </c>
      <c r="G33" s="18" t="s">
        <v>100</v>
      </c>
      <c r="H33" s="19">
        <v>2</v>
      </c>
      <c r="I33" s="19">
        <v>2</v>
      </c>
      <c r="J33" s="19">
        <v>0</v>
      </c>
    </row>
    <row r="34" spans="1:10" x14ac:dyDescent="0.25">
      <c r="A34" s="18">
        <v>1865</v>
      </c>
      <c r="B34" s="18" t="s">
        <v>39</v>
      </c>
      <c r="C34" s="18" t="s">
        <v>110</v>
      </c>
      <c r="D34" s="18" t="s">
        <v>108</v>
      </c>
      <c r="E34" s="18" t="s">
        <v>100</v>
      </c>
      <c r="F34" s="18" t="s">
        <v>101</v>
      </c>
      <c r="G34" s="18" t="s">
        <v>101</v>
      </c>
      <c r="H34" s="19">
        <v>12</v>
      </c>
      <c r="I34" s="19">
        <v>12</v>
      </c>
      <c r="J34" s="19">
        <v>0</v>
      </c>
    </row>
    <row r="35" spans="1:10" x14ac:dyDescent="0.25">
      <c r="A35" s="18">
        <v>1865</v>
      </c>
      <c r="B35" s="18" t="s">
        <v>39</v>
      </c>
      <c r="C35" s="18" t="s">
        <v>111</v>
      </c>
      <c r="D35" s="18" t="s">
        <v>108</v>
      </c>
      <c r="E35" s="18" t="s">
        <v>100</v>
      </c>
      <c r="F35" s="18" t="s">
        <v>100</v>
      </c>
      <c r="G35" s="18" t="s">
        <v>100</v>
      </c>
      <c r="H35" s="19">
        <v>1</v>
      </c>
      <c r="I35" s="19">
        <v>1</v>
      </c>
      <c r="J35" s="19">
        <v>0</v>
      </c>
    </row>
    <row r="36" spans="1:10" x14ac:dyDescent="0.25">
      <c r="A36" s="18">
        <v>1865</v>
      </c>
      <c r="B36" s="18" t="s">
        <v>39</v>
      </c>
      <c r="C36" s="18" t="s">
        <v>111</v>
      </c>
      <c r="D36" s="18" t="s">
        <v>108</v>
      </c>
      <c r="E36" s="18" t="s">
        <v>100</v>
      </c>
      <c r="F36" s="18" t="s">
        <v>101</v>
      </c>
      <c r="G36" s="18" t="s">
        <v>100</v>
      </c>
      <c r="H36" s="19">
        <v>2</v>
      </c>
      <c r="I36" s="19">
        <v>2</v>
      </c>
      <c r="J36" s="19">
        <v>0</v>
      </c>
    </row>
    <row r="37" spans="1:10" x14ac:dyDescent="0.25">
      <c r="A37" s="18">
        <v>1865</v>
      </c>
      <c r="B37" s="18" t="s">
        <v>39</v>
      </c>
      <c r="C37" s="18" t="s">
        <v>111</v>
      </c>
      <c r="D37" s="18" t="s">
        <v>108</v>
      </c>
      <c r="E37" s="18" t="s">
        <v>100</v>
      </c>
      <c r="F37" s="18" t="s">
        <v>101</v>
      </c>
      <c r="G37" s="18" t="s">
        <v>101</v>
      </c>
      <c r="H37" s="19">
        <v>12</v>
      </c>
      <c r="I37" s="19">
        <v>12</v>
      </c>
      <c r="J37" s="19">
        <v>0</v>
      </c>
    </row>
    <row r="38" spans="1:10" x14ac:dyDescent="0.25">
      <c r="A38" s="18">
        <v>1865</v>
      </c>
      <c r="B38" s="18" t="s">
        <v>39</v>
      </c>
      <c r="C38" s="18" t="s">
        <v>111</v>
      </c>
      <c r="D38" s="18" t="s">
        <v>106</v>
      </c>
      <c r="E38" s="18" t="s">
        <v>100</v>
      </c>
      <c r="F38" s="18" t="s">
        <v>100</v>
      </c>
      <c r="G38" s="18" t="s">
        <v>100</v>
      </c>
      <c r="H38" s="19">
        <v>15</v>
      </c>
      <c r="I38" s="19">
        <v>15</v>
      </c>
      <c r="J38" s="19">
        <v>0</v>
      </c>
    </row>
    <row r="39" spans="1:10" x14ac:dyDescent="0.25">
      <c r="A39" s="18">
        <v>1865</v>
      </c>
      <c r="B39" s="18" t="s">
        <v>39</v>
      </c>
      <c r="C39" s="18" t="s">
        <v>111</v>
      </c>
      <c r="D39" s="18" t="s">
        <v>106</v>
      </c>
      <c r="E39" s="18" t="s">
        <v>100</v>
      </c>
      <c r="F39" s="18" t="s">
        <v>101</v>
      </c>
      <c r="G39" s="18" t="s">
        <v>100</v>
      </c>
      <c r="H39" s="19">
        <v>30</v>
      </c>
      <c r="I39" s="19">
        <v>30</v>
      </c>
      <c r="J39" s="19">
        <v>0</v>
      </c>
    </row>
    <row r="40" spans="1:10" x14ac:dyDescent="0.25">
      <c r="A40" s="18">
        <v>1865</v>
      </c>
      <c r="B40" s="18" t="s">
        <v>39</v>
      </c>
      <c r="C40" s="18" t="s">
        <v>111</v>
      </c>
      <c r="D40" s="18" t="s">
        <v>106</v>
      </c>
      <c r="E40" s="18" t="s">
        <v>100</v>
      </c>
      <c r="F40" s="18" t="s">
        <v>101</v>
      </c>
      <c r="G40" s="18" t="s">
        <v>101</v>
      </c>
      <c r="H40" s="19">
        <v>180</v>
      </c>
      <c r="I40" s="19">
        <v>178</v>
      </c>
      <c r="J40" s="19">
        <v>0</v>
      </c>
    </row>
    <row r="41" spans="1:10" x14ac:dyDescent="0.25">
      <c r="A41" s="18">
        <v>1865</v>
      </c>
      <c r="B41" s="18" t="s">
        <v>39</v>
      </c>
      <c r="C41" s="18" t="s">
        <v>107</v>
      </c>
      <c r="D41" s="18" t="s">
        <v>105</v>
      </c>
      <c r="E41" s="18" t="s">
        <v>100</v>
      </c>
      <c r="F41" s="18" t="s">
        <v>100</v>
      </c>
      <c r="G41" s="18" t="s">
        <v>100</v>
      </c>
      <c r="H41" s="19">
        <v>53</v>
      </c>
      <c r="I41" s="19">
        <v>53</v>
      </c>
      <c r="J41" s="19">
        <v>0</v>
      </c>
    </row>
    <row r="42" spans="1:10" x14ac:dyDescent="0.25">
      <c r="A42" s="18">
        <v>1865</v>
      </c>
      <c r="B42" s="18" t="s">
        <v>39</v>
      </c>
      <c r="C42" s="18" t="s">
        <v>107</v>
      </c>
      <c r="D42" s="18" t="s">
        <v>108</v>
      </c>
      <c r="E42" s="18" t="s">
        <v>100</v>
      </c>
      <c r="F42" s="18" t="s">
        <v>100</v>
      </c>
      <c r="G42" s="18" t="s">
        <v>100</v>
      </c>
      <c r="H42" s="19">
        <v>2</v>
      </c>
      <c r="I42" s="19">
        <v>2</v>
      </c>
      <c r="J42" s="19">
        <v>0</v>
      </c>
    </row>
    <row r="43" spans="1:10" x14ac:dyDescent="0.25">
      <c r="A43" s="18">
        <v>1865</v>
      </c>
      <c r="B43" s="18" t="s">
        <v>39</v>
      </c>
      <c r="C43" s="18" t="s">
        <v>107</v>
      </c>
      <c r="D43" s="18" t="s">
        <v>106</v>
      </c>
      <c r="E43" s="18" t="s">
        <v>100</v>
      </c>
      <c r="F43" s="18" t="s">
        <v>100</v>
      </c>
      <c r="G43" s="18" t="s">
        <v>100</v>
      </c>
      <c r="H43" s="19">
        <v>15</v>
      </c>
      <c r="I43" s="19">
        <v>15</v>
      </c>
      <c r="J43" s="19">
        <v>0</v>
      </c>
    </row>
    <row r="44" spans="1:10" x14ac:dyDescent="0.25">
      <c r="A44" s="18">
        <v>1865</v>
      </c>
      <c r="B44" s="18" t="s">
        <v>43</v>
      </c>
      <c r="C44" s="18" t="s">
        <v>109</v>
      </c>
      <c r="D44" s="18" t="s">
        <v>105</v>
      </c>
      <c r="E44" s="18" t="s">
        <v>100</v>
      </c>
      <c r="F44" s="18" t="s">
        <v>100</v>
      </c>
      <c r="G44" s="18" t="s">
        <v>100</v>
      </c>
      <c r="H44" s="19">
        <v>60</v>
      </c>
      <c r="I44" s="19">
        <v>52</v>
      </c>
      <c r="J44" s="19">
        <v>1</v>
      </c>
    </row>
    <row r="45" spans="1:10" x14ac:dyDescent="0.25">
      <c r="A45" s="18">
        <v>1865</v>
      </c>
      <c r="B45" s="18" t="s">
        <v>43</v>
      </c>
      <c r="C45" s="18" t="s">
        <v>109</v>
      </c>
      <c r="D45" s="18" t="s">
        <v>108</v>
      </c>
      <c r="E45" s="18" t="s">
        <v>100</v>
      </c>
      <c r="F45" s="18" t="s">
        <v>100</v>
      </c>
      <c r="G45" s="18" t="s">
        <v>100</v>
      </c>
      <c r="H45" s="19">
        <v>2</v>
      </c>
      <c r="I45" s="19">
        <v>2</v>
      </c>
      <c r="J45" s="19">
        <v>1</v>
      </c>
    </row>
    <row r="46" spans="1:10" x14ac:dyDescent="0.25">
      <c r="A46" s="18">
        <v>1865</v>
      </c>
      <c r="B46" s="18" t="s">
        <v>43</v>
      </c>
      <c r="C46" s="18" t="s">
        <v>109</v>
      </c>
      <c r="D46" s="18" t="s">
        <v>106</v>
      </c>
      <c r="E46" s="18" t="s">
        <v>100</v>
      </c>
      <c r="F46" s="18" t="s">
        <v>100</v>
      </c>
      <c r="G46" s="18" t="s">
        <v>100</v>
      </c>
      <c r="H46" s="19">
        <v>16</v>
      </c>
      <c r="I46" s="19">
        <v>16</v>
      </c>
      <c r="J46" s="19">
        <v>0</v>
      </c>
    </row>
    <row r="47" spans="1:10" x14ac:dyDescent="0.25">
      <c r="A47" s="18">
        <v>1865</v>
      </c>
      <c r="B47" s="18" t="s">
        <v>56</v>
      </c>
      <c r="C47" s="18" t="s">
        <v>112</v>
      </c>
      <c r="D47" s="18" t="s">
        <v>105</v>
      </c>
      <c r="E47" s="18" t="s">
        <v>100</v>
      </c>
      <c r="F47" s="18" t="s">
        <v>100</v>
      </c>
      <c r="G47" s="18" t="s">
        <v>100</v>
      </c>
      <c r="H47" s="19">
        <v>82</v>
      </c>
      <c r="I47" s="19">
        <v>69</v>
      </c>
      <c r="J47" s="19">
        <v>0</v>
      </c>
    </row>
    <row r="48" spans="1:10" x14ac:dyDescent="0.25">
      <c r="A48" s="18">
        <v>1865</v>
      </c>
      <c r="B48" s="18" t="s">
        <v>56</v>
      </c>
      <c r="C48" s="18" t="s">
        <v>112</v>
      </c>
      <c r="D48" s="18" t="s">
        <v>108</v>
      </c>
      <c r="E48" s="18" t="s">
        <v>100</v>
      </c>
      <c r="F48" s="18" t="s">
        <v>100</v>
      </c>
      <c r="G48" s="18" t="s">
        <v>100</v>
      </c>
      <c r="H48" s="19">
        <v>1</v>
      </c>
      <c r="I48" s="19">
        <v>1</v>
      </c>
      <c r="J48" s="19">
        <v>0</v>
      </c>
    </row>
    <row r="49" spans="1:10" x14ac:dyDescent="0.25">
      <c r="A49" s="18">
        <v>1865</v>
      </c>
      <c r="B49" s="18" t="s">
        <v>56</v>
      </c>
      <c r="C49" s="18" t="s">
        <v>112</v>
      </c>
      <c r="D49" s="18" t="s">
        <v>106</v>
      </c>
      <c r="E49" s="18" t="s">
        <v>100</v>
      </c>
      <c r="F49" s="18" t="s">
        <v>100</v>
      </c>
      <c r="G49" s="18" t="s">
        <v>100</v>
      </c>
      <c r="H49" s="19">
        <v>24</v>
      </c>
      <c r="I49" s="19">
        <v>21</v>
      </c>
      <c r="J49" s="19">
        <v>1</v>
      </c>
    </row>
    <row r="50" spans="1:10" x14ac:dyDescent="0.25">
      <c r="A50" s="18">
        <v>1865</v>
      </c>
      <c r="B50" s="18" t="s">
        <v>65</v>
      </c>
      <c r="C50" s="18" t="s">
        <v>113</v>
      </c>
      <c r="D50" s="18" t="s">
        <v>108</v>
      </c>
      <c r="E50" s="18" t="s">
        <v>100</v>
      </c>
      <c r="F50" s="18" t="s">
        <v>100</v>
      </c>
      <c r="G50" s="18" t="s">
        <v>100</v>
      </c>
      <c r="H50" s="19">
        <v>1</v>
      </c>
      <c r="I50" s="19">
        <v>1</v>
      </c>
      <c r="J50" s="19">
        <v>0</v>
      </c>
    </row>
    <row r="51" spans="1:10" x14ac:dyDescent="0.25">
      <c r="A51" s="18">
        <v>1865</v>
      </c>
      <c r="B51" s="18" t="s">
        <v>65</v>
      </c>
      <c r="C51" s="18" t="s">
        <v>113</v>
      </c>
      <c r="D51" s="18" t="s">
        <v>108</v>
      </c>
      <c r="E51" s="18" t="s">
        <v>100</v>
      </c>
      <c r="F51" s="18" t="s">
        <v>101</v>
      </c>
      <c r="G51" s="18" t="s">
        <v>100</v>
      </c>
      <c r="H51" s="19">
        <v>2</v>
      </c>
      <c r="I51" s="19">
        <v>2</v>
      </c>
      <c r="J51" s="19">
        <v>0</v>
      </c>
    </row>
    <row r="52" spans="1:10" x14ac:dyDescent="0.25">
      <c r="A52" s="18">
        <v>1865</v>
      </c>
      <c r="B52" s="18" t="s">
        <v>65</v>
      </c>
      <c r="C52" s="18" t="s">
        <v>113</v>
      </c>
      <c r="D52" s="18" t="s">
        <v>106</v>
      </c>
      <c r="E52" s="18" t="s">
        <v>100</v>
      </c>
      <c r="F52" s="18" t="s">
        <v>100</v>
      </c>
      <c r="G52" s="18" t="s">
        <v>100</v>
      </c>
      <c r="H52" s="19">
        <v>26</v>
      </c>
      <c r="I52" s="19">
        <v>15</v>
      </c>
      <c r="J52" s="19">
        <v>0</v>
      </c>
    </row>
    <row r="53" spans="1:10" x14ac:dyDescent="0.25">
      <c r="A53" s="18">
        <v>1865</v>
      </c>
      <c r="B53" s="18" t="s">
        <v>65</v>
      </c>
      <c r="C53" s="18" t="s">
        <v>113</v>
      </c>
      <c r="D53" s="18" t="s">
        <v>106</v>
      </c>
      <c r="E53" s="18" t="s">
        <v>100</v>
      </c>
      <c r="F53" s="18" t="s">
        <v>101</v>
      </c>
      <c r="G53" s="18" t="s">
        <v>100</v>
      </c>
      <c r="H53" s="19">
        <v>52</v>
      </c>
      <c r="I53" s="19">
        <v>30</v>
      </c>
      <c r="J53" s="19">
        <v>0</v>
      </c>
    </row>
    <row r="54" spans="1:10" x14ac:dyDescent="0.25">
      <c r="A54" s="18">
        <v>1865</v>
      </c>
      <c r="B54" s="18" t="s">
        <v>65</v>
      </c>
      <c r="C54" s="18" t="s">
        <v>114</v>
      </c>
      <c r="D54" s="18" t="s">
        <v>108</v>
      </c>
      <c r="E54" s="18" t="s">
        <v>100</v>
      </c>
      <c r="F54" s="18" t="s">
        <v>100</v>
      </c>
      <c r="G54" s="18" t="s">
        <v>100</v>
      </c>
      <c r="H54" s="19">
        <v>1</v>
      </c>
      <c r="I54" s="19">
        <v>1</v>
      </c>
      <c r="J54" s="19">
        <v>0</v>
      </c>
    </row>
    <row r="55" spans="1:10" x14ac:dyDescent="0.25">
      <c r="A55" s="18">
        <v>1865</v>
      </c>
      <c r="B55" s="18" t="s">
        <v>65</v>
      </c>
      <c r="C55" s="18" t="s">
        <v>114</v>
      </c>
      <c r="D55" s="18" t="s">
        <v>108</v>
      </c>
      <c r="E55" s="18" t="s">
        <v>100</v>
      </c>
      <c r="F55" s="18" t="s">
        <v>100</v>
      </c>
      <c r="G55" s="18" t="s">
        <v>101</v>
      </c>
      <c r="H55" s="19">
        <v>6</v>
      </c>
      <c r="I55" s="19">
        <v>6</v>
      </c>
      <c r="J55" s="19">
        <v>0</v>
      </c>
    </row>
    <row r="56" spans="1:10" x14ac:dyDescent="0.25">
      <c r="A56" s="18">
        <v>1865</v>
      </c>
      <c r="B56" s="18" t="s">
        <v>65</v>
      </c>
      <c r="C56" s="18" t="s">
        <v>114</v>
      </c>
      <c r="D56" s="18" t="s">
        <v>108</v>
      </c>
      <c r="E56" s="18" t="s">
        <v>100</v>
      </c>
      <c r="F56" s="18" t="s">
        <v>101</v>
      </c>
      <c r="G56" s="18" t="s">
        <v>100</v>
      </c>
      <c r="H56" s="19">
        <v>2</v>
      </c>
      <c r="I56" s="19">
        <v>2</v>
      </c>
      <c r="J56" s="19">
        <v>0</v>
      </c>
    </row>
    <row r="57" spans="1:10" x14ac:dyDescent="0.25">
      <c r="A57" s="18">
        <v>1865</v>
      </c>
      <c r="B57" s="18" t="s">
        <v>65</v>
      </c>
      <c r="C57" s="18" t="s">
        <v>114</v>
      </c>
      <c r="D57" s="18" t="s">
        <v>108</v>
      </c>
      <c r="E57" s="18" t="s">
        <v>100</v>
      </c>
      <c r="F57" s="18" t="s">
        <v>101</v>
      </c>
      <c r="G57" s="18" t="s">
        <v>101</v>
      </c>
      <c r="H57" s="19">
        <v>12</v>
      </c>
      <c r="I57" s="19">
        <v>12</v>
      </c>
      <c r="J57" s="19">
        <v>0</v>
      </c>
    </row>
    <row r="58" spans="1:10" x14ac:dyDescent="0.25">
      <c r="A58" s="18">
        <v>1865</v>
      </c>
      <c r="B58" s="18" t="s">
        <v>65</v>
      </c>
      <c r="C58" s="18" t="s">
        <v>114</v>
      </c>
      <c r="D58" s="18" t="s">
        <v>106</v>
      </c>
      <c r="E58" s="18" t="s">
        <v>100</v>
      </c>
      <c r="F58" s="18" t="s">
        <v>100</v>
      </c>
      <c r="G58" s="18" t="s">
        <v>100</v>
      </c>
      <c r="H58" s="19">
        <v>19</v>
      </c>
      <c r="I58" s="19">
        <v>15</v>
      </c>
      <c r="J58" s="19">
        <v>0</v>
      </c>
    </row>
    <row r="59" spans="1:10" x14ac:dyDescent="0.25">
      <c r="A59" s="18">
        <v>1865</v>
      </c>
      <c r="B59" s="18" t="s">
        <v>65</v>
      </c>
      <c r="C59" s="18" t="s">
        <v>114</v>
      </c>
      <c r="D59" s="18" t="s">
        <v>106</v>
      </c>
      <c r="E59" s="18" t="s">
        <v>100</v>
      </c>
      <c r="F59" s="18" t="s">
        <v>100</v>
      </c>
      <c r="G59" s="18" t="s">
        <v>101</v>
      </c>
      <c r="H59" s="19">
        <v>114</v>
      </c>
      <c r="I59" s="19">
        <v>89</v>
      </c>
      <c r="J59" s="19">
        <v>0</v>
      </c>
    </row>
    <row r="60" spans="1:10" x14ac:dyDescent="0.25">
      <c r="A60" s="18">
        <v>1865</v>
      </c>
      <c r="B60" s="18" t="s">
        <v>65</v>
      </c>
      <c r="C60" s="18" t="s">
        <v>114</v>
      </c>
      <c r="D60" s="18" t="s">
        <v>106</v>
      </c>
      <c r="E60" s="18" t="s">
        <v>100</v>
      </c>
      <c r="F60" s="18" t="s">
        <v>101</v>
      </c>
      <c r="G60" s="18" t="s">
        <v>100</v>
      </c>
      <c r="H60" s="19">
        <v>38</v>
      </c>
      <c r="I60" s="19">
        <v>30</v>
      </c>
      <c r="J60" s="19">
        <v>0</v>
      </c>
    </row>
    <row r="61" spans="1:10" x14ac:dyDescent="0.25">
      <c r="A61" s="18">
        <v>1865</v>
      </c>
      <c r="B61" s="18" t="s">
        <v>65</v>
      </c>
      <c r="C61" s="18" t="s">
        <v>114</v>
      </c>
      <c r="D61" s="18" t="s">
        <v>106</v>
      </c>
      <c r="E61" s="18" t="s">
        <v>100</v>
      </c>
      <c r="F61" s="18" t="s">
        <v>101</v>
      </c>
      <c r="G61" s="18" t="s">
        <v>101</v>
      </c>
      <c r="H61" s="19">
        <v>228</v>
      </c>
      <c r="I61" s="19">
        <v>178</v>
      </c>
      <c r="J61" s="19">
        <v>0</v>
      </c>
    </row>
    <row r="62" spans="1:10" x14ac:dyDescent="0.25">
      <c r="A62" s="18">
        <v>1865</v>
      </c>
      <c r="B62" s="18" t="s">
        <v>65</v>
      </c>
      <c r="C62" s="18" t="s">
        <v>115</v>
      </c>
      <c r="D62" s="18" t="s">
        <v>108</v>
      </c>
      <c r="E62" s="18" t="s">
        <v>100</v>
      </c>
      <c r="F62" s="18" t="s">
        <v>100</v>
      </c>
      <c r="G62" s="18" t="s">
        <v>100</v>
      </c>
      <c r="H62" s="19">
        <v>1</v>
      </c>
      <c r="I62" s="19">
        <v>1</v>
      </c>
      <c r="J62" s="19">
        <v>0</v>
      </c>
    </row>
    <row r="63" spans="1:10" x14ac:dyDescent="0.25">
      <c r="A63" s="18">
        <v>1865</v>
      </c>
      <c r="B63" s="18" t="s">
        <v>65</v>
      </c>
      <c r="C63" s="18" t="s">
        <v>115</v>
      </c>
      <c r="D63" s="18" t="s">
        <v>108</v>
      </c>
      <c r="E63" s="18" t="s">
        <v>101</v>
      </c>
      <c r="F63" s="18" t="s">
        <v>100</v>
      </c>
      <c r="G63" s="18" t="s">
        <v>100</v>
      </c>
      <c r="H63" s="19">
        <v>2</v>
      </c>
      <c r="I63" s="19">
        <v>2</v>
      </c>
      <c r="J63" s="19">
        <v>0</v>
      </c>
    </row>
    <row r="64" spans="1:10" x14ac:dyDescent="0.25">
      <c r="A64" s="18">
        <v>1865</v>
      </c>
      <c r="B64" s="18" t="s">
        <v>65</v>
      </c>
      <c r="C64" s="18" t="s">
        <v>115</v>
      </c>
      <c r="D64" s="18" t="s">
        <v>106</v>
      </c>
      <c r="E64" s="18" t="s">
        <v>100</v>
      </c>
      <c r="F64" s="18" t="s">
        <v>100</v>
      </c>
      <c r="G64" s="18" t="s">
        <v>100</v>
      </c>
      <c r="H64" s="19">
        <v>26</v>
      </c>
      <c r="I64" s="19">
        <v>15</v>
      </c>
      <c r="J64" s="19">
        <v>0</v>
      </c>
    </row>
    <row r="65" spans="1:10" x14ac:dyDescent="0.25">
      <c r="A65" s="18">
        <v>1865</v>
      </c>
      <c r="B65" s="18" t="s">
        <v>65</v>
      </c>
      <c r="C65" s="18" t="s">
        <v>115</v>
      </c>
      <c r="D65" s="18" t="s">
        <v>106</v>
      </c>
      <c r="E65" s="18" t="s">
        <v>101</v>
      </c>
      <c r="F65" s="18" t="s">
        <v>100</v>
      </c>
      <c r="G65" s="18" t="s">
        <v>100</v>
      </c>
      <c r="H65" s="19">
        <v>52</v>
      </c>
      <c r="I65" s="19">
        <v>29</v>
      </c>
      <c r="J65" s="19">
        <v>1</v>
      </c>
    </row>
    <row r="66" spans="1:10" x14ac:dyDescent="0.25">
      <c r="A66" s="18">
        <v>1875</v>
      </c>
      <c r="B66" s="18" t="s">
        <v>43</v>
      </c>
      <c r="C66" s="18" t="s">
        <v>116</v>
      </c>
      <c r="D66" s="18" t="s">
        <v>105</v>
      </c>
      <c r="E66" s="18" t="s">
        <v>100</v>
      </c>
      <c r="F66" s="18" t="s">
        <v>100</v>
      </c>
      <c r="G66" s="18" t="s">
        <v>100</v>
      </c>
      <c r="H66" s="19">
        <v>116</v>
      </c>
      <c r="I66" s="19">
        <v>116</v>
      </c>
      <c r="J66" s="19">
        <v>0</v>
      </c>
    </row>
    <row r="67" spans="1:10" x14ac:dyDescent="0.25">
      <c r="A67" s="18">
        <v>1875</v>
      </c>
      <c r="B67" s="18" t="s">
        <v>43</v>
      </c>
      <c r="C67" s="18" t="s">
        <v>116</v>
      </c>
      <c r="D67" s="18" t="s">
        <v>105</v>
      </c>
      <c r="E67" s="18" t="s">
        <v>100</v>
      </c>
      <c r="F67" s="18" t="s">
        <v>101</v>
      </c>
      <c r="G67" s="18" t="s">
        <v>100</v>
      </c>
      <c r="H67" s="19">
        <v>116</v>
      </c>
      <c r="I67" s="19">
        <v>116</v>
      </c>
      <c r="J67" s="19">
        <v>0</v>
      </c>
    </row>
    <row r="68" spans="1:10" x14ac:dyDescent="0.25">
      <c r="A68" s="18">
        <v>1875</v>
      </c>
      <c r="B68" s="18" t="s">
        <v>43</v>
      </c>
      <c r="C68" s="18" t="s">
        <v>116</v>
      </c>
      <c r="D68" s="18" t="s">
        <v>105</v>
      </c>
      <c r="E68" s="18" t="s">
        <v>100</v>
      </c>
      <c r="F68" s="18" t="s">
        <v>101</v>
      </c>
      <c r="G68" s="18" t="s">
        <v>101</v>
      </c>
      <c r="H68" s="19">
        <v>696</v>
      </c>
      <c r="I68" s="19">
        <v>696</v>
      </c>
      <c r="J68" s="19">
        <v>1</v>
      </c>
    </row>
    <row r="69" spans="1:10" x14ac:dyDescent="0.25">
      <c r="A69" s="18">
        <v>1875</v>
      </c>
      <c r="B69" s="18" t="s">
        <v>43</v>
      </c>
      <c r="C69" s="18" t="s">
        <v>116</v>
      </c>
      <c r="D69" s="18" t="s">
        <v>105</v>
      </c>
      <c r="E69" s="18" t="s">
        <v>101</v>
      </c>
      <c r="F69" s="18" t="s">
        <v>100</v>
      </c>
      <c r="G69" s="18" t="s">
        <v>100</v>
      </c>
      <c r="H69" s="19">
        <v>116</v>
      </c>
      <c r="I69" s="19">
        <v>116</v>
      </c>
      <c r="J69" s="19">
        <v>1</v>
      </c>
    </row>
    <row r="70" spans="1:10" x14ac:dyDescent="0.25">
      <c r="A70" s="18">
        <v>1875</v>
      </c>
      <c r="B70" s="18" t="s">
        <v>43</v>
      </c>
      <c r="C70" s="18" t="s">
        <v>116</v>
      </c>
      <c r="D70" s="18" t="s">
        <v>108</v>
      </c>
      <c r="E70" s="18" t="s">
        <v>100</v>
      </c>
      <c r="F70" s="18" t="s">
        <v>100</v>
      </c>
      <c r="G70" s="18" t="s">
        <v>100</v>
      </c>
      <c r="H70" s="19">
        <v>2</v>
      </c>
      <c r="I70" s="19">
        <v>2</v>
      </c>
      <c r="J70" s="19">
        <v>0</v>
      </c>
    </row>
    <row r="71" spans="1:10" x14ac:dyDescent="0.25">
      <c r="A71" s="18">
        <v>1875</v>
      </c>
      <c r="B71" s="18" t="s">
        <v>43</v>
      </c>
      <c r="C71" s="18" t="s">
        <v>116</v>
      </c>
      <c r="D71" s="18" t="s">
        <v>108</v>
      </c>
      <c r="E71" s="18" t="s">
        <v>100</v>
      </c>
      <c r="F71" s="18" t="s">
        <v>101</v>
      </c>
      <c r="G71" s="18" t="s">
        <v>100</v>
      </c>
      <c r="H71" s="19">
        <v>2</v>
      </c>
      <c r="I71" s="19">
        <v>2</v>
      </c>
      <c r="J71" s="19">
        <v>0</v>
      </c>
    </row>
    <row r="72" spans="1:10" x14ac:dyDescent="0.25">
      <c r="A72" s="18">
        <v>1875</v>
      </c>
      <c r="B72" s="18" t="s">
        <v>43</v>
      </c>
      <c r="C72" s="18" t="s">
        <v>116</v>
      </c>
      <c r="D72" s="18" t="s">
        <v>108</v>
      </c>
      <c r="E72" s="18" t="s">
        <v>100</v>
      </c>
      <c r="F72" s="18" t="s">
        <v>101</v>
      </c>
      <c r="G72" s="18" t="s">
        <v>101</v>
      </c>
      <c r="H72" s="19">
        <v>12</v>
      </c>
      <c r="I72" s="19">
        <v>12</v>
      </c>
      <c r="J72" s="19">
        <v>0</v>
      </c>
    </row>
    <row r="73" spans="1:10" x14ac:dyDescent="0.25">
      <c r="A73" s="18">
        <v>1875</v>
      </c>
      <c r="B73" s="18" t="s">
        <v>43</v>
      </c>
      <c r="C73" s="18" t="s">
        <v>116</v>
      </c>
      <c r="D73" s="18" t="s">
        <v>108</v>
      </c>
      <c r="E73" s="18" t="s">
        <v>101</v>
      </c>
      <c r="F73" s="18" t="s">
        <v>100</v>
      </c>
      <c r="G73" s="18" t="s">
        <v>100</v>
      </c>
      <c r="H73" s="19">
        <v>2</v>
      </c>
      <c r="I73" s="19">
        <v>2</v>
      </c>
      <c r="J73" s="19">
        <v>0</v>
      </c>
    </row>
    <row r="74" spans="1:10" x14ac:dyDescent="0.25">
      <c r="A74" s="18">
        <v>1875</v>
      </c>
      <c r="B74" s="18" t="s">
        <v>43</v>
      </c>
      <c r="C74" s="18" t="s">
        <v>116</v>
      </c>
      <c r="D74" s="18" t="s">
        <v>106</v>
      </c>
      <c r="E74" s="18" t="s">
        <v>100</v>
      </c>
      <c r="F74" s="18" t="s">
        <v>100</v>
      </c>
      <c r="G74" s="18" t="s">
        <v>100</v>
      </c>
      <c r="H74" s="19">
        <v>38</v>
      </c>
      <c r="I74" s="19">
        <v>38</v>
      </c>
      <c r="J74" s="19">
        <v>0</v>
      </c>
    </row>
    <row r="75" spans="1:10" x14ac:dyDescent="0.25">
      <c r="A75" s="18">
        <v>1875</v>
      </c>
      <c r="B75" s="18" t="s">
        <v>43</v>
      </c>
      <c r="C75" s="18" t="s">
        <v>116</v>
      </c>
      <c r="D75" s="18" t="s">
        <v>106</v>
      </c>
      <c r="E75" s="18" t="s">
        <v>100</v>
      </c>
      <c r="F75" s="18" t="s">
        <v>101</v>
      </c>
      <c r="G75" s="18" t="s">
        <v>100</v>
      </c>
      <c r="H75" s="19">
        <v>38</v>
      </c>
      <c r="I75" s="19">
        <v>38</v>
      </c>
      <c r="J75" s="19">
        <v>0</v>
      </c>
    </row>
    <row r="76" spans="1:10" x14ac:dyDescent="0.25">
      <c r="A76" s="18">
        <v>1875</v>
      </c>
      <c r="B76" s="18" t="s">
        <v>43</v>
      </c>
      <c r="C76" s="18" t="s">
        <v>116</v>
      </c>
      <c r="D76" s="18" t="s">
        <v>106</v>
      </c>
      <c r="E76" s="18" t="s">
        <v>100</v>
      </c>
      <c r="F76" s="18" t="s">
        <v>101</v>
      </c>
      <c r="G76" s="18" t="s">
        <v>101</v>
      </c>
      <c r="H76" s="19">
        <v>228</v>
      </c>
      <c r="I76" s="19">
        <v>227</v>
      </c>
      <c r="J76" s="19">
        <v>1</v>
      </c>
    </row>
    <row r="77" spans="1:10" x14ac:dyDescent="0.25">
      <c r="A77" s="18">
        <v>1875</v>
      </c>
      <c r="B77" s="18" t="s">
        <v>43</v>
      </c>
      <c r="C77" s="18" t="s">
        <v>116</v>
      </c>
      <c r="D77" s="18" t="s">
        <v>106</v>
      </c>
      <c r="E77" s="18" t="s">
        <v>101</v>
      </c>
      <c r="F77" s="18" t="s">
        <v>100</v>
      </c>
      <c r="G77" s="18" t="s">
        <v>100</v>
      </c>
      <c r="H77" s="19">
        <v>38</v>
      </c>
      <c r="I77" s="19">
        <v>38</v>
      </c>
      <c r="J77" s="19">
        <v>0</v>
      </c>
    </row>
    <row r="78" spans="1:10" x14ac:dyDescent="0.25">
      <c r="A78" s="18">
        <v>1875</v>
      </c>
      <c r="B78" s="18" t="s">
        <v>43</v>
      </c>
      <c r="C78" s="18" t="s">
        <v>109</v>
      </c>
      <c r="D78" s="18" t="s">
        <v>105</v>
      </c>
      <c r="E78" s="18" t="s">
        <v>100</v>
      </c>
      <c r="F78" s="18" t="s">
        <v>100</v>
      </c>
      <c r="G78" s="18" t="s">
        <v>100</v>
      </c>
      <c r="H78" s="19">
        <v>60</v>
      </c>
      <c r="I78" s="19">
        <v>60</v>
      </c>
      <c r="J78" s="19">
        <v>0</v>
      </c>
    </row>
    <row r="79" spans="1:10" x14ac:dyDescent="0.25">
      <c r="A79" s="18">
        <v>1875</v>
      </c>
      <c r="B79" s="18" t="s">
        <v>43</v>
      </c>
      <c r="C79" s="18" t="s">
        <v>109</v>
      </c>
      <c r="D79" s="18" t="s">
        <v>108</v>
      </c>
      <c r="E79" s="18" t="s">
        <v>100</v>
      </c>
      <c r="F79" s="18" t="s">
        <v>100</v>
      </c>
      <c r="G79" s="18" t="s">
        <v>100</v>
      </c>
      <c r="H79" s="19">
        <v>2</v>
      </c>
      <c r="I79" s="19">
        <v>2</v>
      </c>
      <c r="J79" s="19">
        <v>0</v>
      </c>
    </row>
    <row r="80" spans="1:10" x14ac:dyDescent="0.25">
      <c r="A80" s="18">
        <v>1875</v>
      </c>
      <c r="B80" s="18" t="s">
        <v>43</v>
      </c>
      <c r="C80" s="18" t="s">
        <v>109</v>
      </c>
      <c r="D80" s="18" t="s">
        <v>106</v>
      </c>
      <c r="E80" s="18" t="s">
        <v>100</v>
      </c>
      <c r="F80" s="18" t="s">
        <v>100</v>
      </c>
      <c r="G80" s="18" t="s">
        <v>100</v>
      </c>
      <c r="H80" s="19">
        <v>19</v>
      </c>
      <c r="I80" s="19">
        <v>19</v>
      </c>
      <c r="J80" s="19">
        <v>0</v>
      </c>
    </row>
    <row r="81" spans="1:10" x14ac:dyDescent="0.25">
      <c r="A81" s="18">
        <v>1875</v>
      </c>
      <c r="B81" s="18" t="s">
        <v>56</v>
      </c>
      <c r="C81" s="18" t="s">
        <v>112</v>
      </c>
      <c r="D81" s="18" t="s">
        <v>105</v>
      </c>
      <c r="E81" s="18" t="s">
        <v>100</v>
      </c>
      <c r="F81" s="18" t="s">
        <v>100</v>
      </c>
      <c r="G81" s="18" t="s">
        <v>100</v>
      </c>
      <c r="H81" s="19">
        <v>82</v>
      </c>
      <c r="I81" s="19">
        <v>74</v>
      </c>
      <c r="J81" s="19">
        <v>0</v>
      </c>
    </row>
    <row r="82" spans="1:10" x14ac:dyDescent="0.25">
      <c r="A82" s="18">
        <v>1875</v>
      </c>
      <c r="B82" s="18" t="s">
        <v>56</v>
      </c>
      <c r="C82" s="18" t="s">
        <v>112</v>
      </c>
      <c r="D82" s="18" t="s">
        <v>108</v>
      </c>
      <c r="E82" s="18" t="s">
        <v>100</v>
      </c>
      <c r="F82" s="18" t="s">
        <v>100</v>
      </c>
      <c r="G82" s="18" t="s">
        <v>100</v>
      </c>
      <c r="H82" s="19">
        <v>1</v>
      </c>
      <c r="I82" s="19">
        <v>1</v>
      </c>
      <c r="J82" s="19">
        <v>0</v>
      </c>
    </row>
    <row r="83" spans="1:10" x14ac:dyDescent="0.25">
      <c r="A83" s="18">
        <v>1875</v>
      </c>
      <c r="B83" s="18" t="s">
        <v>56</v>
      </c>
      <c r="C83" s="18" t="s">
        <v>112</v>
      </c>
      <c r="D83" s="18" t="s">
        <v>106</v>
      </c>
      <c r="E83" s="18" t="s">
        <v>100</v>
      </c>
      <c r="F83" s="18" t="s">
        <v>100</v>
      </c>
      <c r="G83" s="18" t="s">
        <v>100</v>
      </c>
      <c r="H83" s="19">
        <v>24</v>
      </c>
      <c r="I83" s="19">
        <v>22</v>
      </c>
      <c r="J83" s="19">
        <v>0</v>
      </c>
    </row>
    <row r="84" spans="1:10" x14ac:dyDescent="0.25">
      <c r="A84" s="18">
        <v>1875</v>
      </c>
      <c r="B84" s="18" t="s">
        <v>65</v>
      </c>
      <c r="C84" s="18" t="s">
        <v>113</v>
      </c>
      <c r="D84" s="18" t="s">
        <v>108</v>
      </c>
      <c r="E84" s="18" t="s">
        <v>100</v>
      </c>
      <c r="F84" s="18" t="s">
        <v>100</v>
      </c>
      <c r="G84" s="18" t="s">
        <v>100</v>
      </c>
      <c r="H84" s="19">
        <v>1</v>
      </c>
      <c r="I84" s="19">
        <v>1</v>
      </c>
      <c r="J84" s="19">
        <v>0</v>
      </c>
    </row>
    <row r="85" spans="1:10" x14ac:dyDescent="0.25">
      <c r="A85" s="18">
        <v>1875</v>
      </c>
      <c r="B85" s="18" t="s">
        <v>65</v>
      </c>
      <c r="C85" s="18" t="s">
        <v>113</v>
      </c>
      <c r="D85" s="18" t="s">
        <v>108</v>
      </c>
      <c r="E85" s="18" t="s">
        <v>100</v>
      </c>
      <c r="F85" s="18" t="s">
        <v>101</v>
      </c>
      <c r="G85" s="18" t="s">
        <v>100</v>
      </c>
      <c r="H85" s="19">
        <v>2</v>
      </c>
      <c r="I85" s="19">
        <v>2</v>
      </c>
      <c r="J85" s="19">
        <v>0</v>
      </c>
    </row>
    <row r="86" spans="1:10" x14ac:dyDescent="0.25">
      <c r="A86" s="18">
        <v>1875</v>
      </c>
      <c r="B86" s="18" t="s">
        <v>65</v>
      </c>
      <c r="C86" s="18" t="s">
        <v>113</v>
      </c>
      <c r="D86" s="18" t="s">
        <v>106</v>
      </c>
      <c r="E86" s="18" t="s">
        <v>100</v>
      </c>
      <c r="F86" s="18" t="s">
        <v>100</v>
      </c>
      <c r="G86" s="18" t="s">
        <v>100</v>
      </c>
      <c r="H86" s="19">
        <v>26</v>
      </c>
      <c r="I86" s="19">
        <v>19</v>
      </c>
      <c r="J86" s="19">
        <v>0</v>
      </c>
    </row>
    <row r="87" spans="1:10" x14ac:dyDescent="0.25">
      <c r="A87" s="18">
        <v>1875</v>
      </c>
      <c r="B87" s="18" t="s">
        <v>65</v>
      </c>
      <c r="C87" s="18" t="s">
        <v>113</v>
      </c>
      <c r="D87" s="18" t="s">
        <v>106</v>
      </c>
      <c r="E87" s="18" t="s">
        <v>100</v>
      </c>
      <c r="F87" s="18" t="s">
        <v>101</v>
      </c>
      <c r="G87" s="18" t="s">
        <v>100</v>
      </c>
      <c r="H87" s="19">
        <v>52</v>
      </c>
      <c r="I87" s="19">
        <v>38</v>
      </c>
      <c r="J87" s="19">
        <v>0</v>
      </c>
    </row>
    <row r="88" spans="1:10" x14ac:dyDescent="0.25">
      <c r="A88" s="18">
        <v>1875</v>
      </c>
      <c r="B88" s="18" t="s">
        <v>65</v>
      </c>
      <c r="C88" s="18" t="s">
        <v>114</v>
      </c>
      <c r="D88" s="18" t="s">
        <v>108</v>
      </c>
      <c r="E88" s="18" t="s">
        <v>100</v>
      </c>
      <c r="F88" s="18" t="s">
        <v>100</v>
      </c>
      <c r="G88" s="18" t="s">
        <v>100</v>
      </c>
      <c r="H88" s="19">
        <v>1</v>
      </c>
      <c r="I88" s="19">
        <v>1</v>
      </c>
      <c r="J88" s="19">
        <v>0</v>
      </c>
    </row>
    <row r="89" spans="1:10" x14ac:dyDescent="0.25">
      <c r="A89" s="18">
        <v>1875</v>
      </c>
      <c r="B89" s="18" t="s">
        <v>65</v>
      </c>
      <c r="C89" s="18" t="s">
        <v>114</v>
      </c>
      <c r="D89" s="18" t="s">
        <v>108</v>
      </c>
      <c r="E89" s="18" t="s">
        <v>100</v>
      </c>
      <c r="F89" s="18" t="s">
        <v>100</v>
      </c>
      <c r="G89" s="18" t="s">
        <v>101</v>
      </c>
      <c r="H89" s="19">
        <v>6</v>
      </c>
      <c r="I89" s="19">
        <v>6</v>
      </c>
      <c r="J89" s="19">
        <v>0</v>
      </c>
    </row>
    <row r="90" spans="1:10" x14ac:dyDescent="0.25">
      <c r="A90" s="18">
        <v>1875</v>
      </c>
      <c r="B90" s="18" t="s">
        <v>65</v>
      </c>
      <c r="C90" s="18" t="s">
        <v>114</v>
      </c>
      <c r="D90" s="18" t="s">
        <v>108</v>
      </c>
      <c r="E90" s="18" t="s">
        <v>100</v>
      </c>
      <c r="F90" s="18" t="s">
        <v>101</v>
      </c>
      <c r="G90" s="18" t="s">
        <v>100</v>
      </c>
      <c r="H90" s="19">
        <v>2</v>
      </c>
      <c r="I90" s="19">
        <v>2</v>
      </c>
      <c r="J90" s="19">
        <v>0</v>
      </c>
    </row>
    <row r="91" spans="1:10" x14ac:dyDescent="0.25">
      <c r="A91" s="18">
        <v>1875</v>
      </c>
      <c r="B91" s="18" t="s">
        <v>65</v>
      </c>
      <c r="C91" s="18" t="s">
        <v>114</v>
      </c>
      <c r="D91" s="18" t="s">
        <v>108</v>
      </c>
      <c r="E91" s="18" t="s">
        <v>100</v>
      </c>
      <c r="F91" s="18" t="s">
        <v>101</v>
      </c>
      <c r="G91" s="18" t="s">
        <v>101</v>
      </c>
      <c r="H91" s="19">
        <v>12</v>
      </c>
      <c r="I91" s="19">
        <v>12</v>
      </c>
      <c r="J91" s="19">
        <v>0</v>
      </c>
    </row>
    <row r="92" spans="1:10" x14ac:dyDescent="0.25">
      <c r="A92" s="18">
        <v>1875</v>
      </c>
      <c r="B92" s="18" t="s">
        <v>65</v>
      </c>
      <c r="C92" s="18" t="s">
        <v>114</v>
      </c>
      <c r="D92" s="18" t="s">
        <v>106</v>
      </c>
      <c r="E92" s="18" t="s">
        <v>100</v>
      </c>
      <c r="F92" s="18" t="s">
        <v>100</v>
      </c>
      <c r="G92" s="18" t="s">
        <v>100</v>
      </c>
      <c r="H92" s="19">
        <v>19</v>
      </c>
      <c r="I92" s="19">
        <v>19</v>
      </c>
      <c r="J92" s="19">
        <v>0</v>
      </c>
    </row>
    <row r="93" spans="1:10" x14ac:dyDescent="0.25">
      <c r="A93" s="18">
        <v>1875</v>
      </c>
      <c r="B93" s="18" t="s">
        <v>65</v>
      </c>
      <c r="C93" s="18" t="s">
        <v>114</v>
      </c>
      <c r="D93" s="18" t="s">
        <v>106</v>
      </c>
      <c r="E93" s="18" t="s">
        <v>100</v>
      </c>
      <c r="F93" s="18" t="s">
        <v>100</v>
      </c>
      <c r="G93" s="18" t="s">
        <v>101</v>
      </c>
      <c r="H93" s="19">
        <v>114</v>
      </c>
      <c r="I93" s="19">
        <v>114</v>
      </c>
      <c r="J93" s="19">
        <v>0</v>
      </c>
    </row>
    <row r="94" spans="1:10" x14ac:dyDescent="0.25">
      <c r="A94" s="18">
        <v>1875</v>
      </c>
      <c r="B94" s="18" t="s">
        <v>65</v>
      </c>
      <c r="C94" s="18" t="s">
        <v>114</v>
      </c>
      <c r="D94" s="18" t="s">
        <v>106</v>
      </c>
      <c r="E94" s="18" t="s">
        <v>100</v>
      </c>
      <c r="F94" s="18" t="s">
        <v>101</v>
      </c>
      <c r="G94" s="18" t="s">
        <v>100</v>
      </c>
      <c r="H94" s="19">
        <v>38</v>
      </c>
      <c r="I94" s="19">
        <v>38</v>
      </c>
      <c r="J94" s="19">
        <v>0</v>
      </c>
    </row>
    <row r="95" spans="1:10" x14ac:dyDescent="0.25">
      <c r="A95" s="18">
        <v>1875</v>
      </c>
      <c r="B95" s="18" t="s">
        <v>65</v>
      </c>
      <c r="C95" s="18" t="s">
        <v>114</v>
      </c>
      <c r="D95" s="18" t="s">
        <v>106</v>
      </c>
      <c r="E95" s="18" t="s">
        <v>100</v>
      </c>
      <c r="F95" s="18" t="s">
        <v>101</v>
      </c>
      <c r="G95" s="18" t="s">
        <v>101</v>
      </c>
      <c r="H95" s="19">
        <v>228</v>
      </c>
      <c r="I95" s="19">
        <v>227</v>
      </c>
      <c r="J95" s="19">
        <v>0</v>
      </c>
    </row>
    <row r="96" spans="1:10" x14ac:dyDescent="0.25">
      <c r="A96" s="18">
        <v>1875</v>
      </c>
      <c r="B96" s="18" t="s">
        <v>65</v>
      </c>
      <c r="C96" s="18" t="s">
        <v>115</v>
      </c>
      <c r="D96" s="18" t="s">
        <v>108</v>
      </c>
      <c r="E96" s="18" t="s">
        <v>100</v>
      </c>
      <c r="F96" s="18" t="s">
        <v>100</v>
      </c>
      <c r="G96" s="18" t="s">
        <v>100</v>
      </c>
      <c r="H96" s="19">
        <v>1</v>
      </c>
      <c r="I96" s="19">
        <v>1</v>
      </c>
      <c r="J96" s="19">
        <v>0</v>
      </c>
    </row>
    <row r="97" spans="1:10" x14ac:dyDescent="0.25">
      <c r="A97" s="18">
        <v>1875</v>
      </c>
      <c r="B97" s="18" t="s">
        <v>65</v>
      </c>
      <c r="C97" s="18" t="s">
        <v>115</v>
      </c>
      <c r="D97" s="18" t="s">
        <v>108</v>
      </c>
      <c r="E97" s="18" t="s">
        <v>101</v>
      </c>
      <c r="F97" s="18" t="s">
        <v>100</v>
      </c>
      <c r="G97" s="18" t="s">
        <v>100</v>
      </c>
      <c r="H97" s="19">
        <v>2</v>
      </c>
      <c r="I97" s="19">
        <v>2</v>
      </c>
      <c r="J97" s="19">
        <v>0</v>
      </c>
    </row>
    <row r="98" spans="1:10" x14ac:dyDescent="0.25">
      <c r="A98" s="18">
        <v>1875</v>
      </c>
      <c r="B98" s="18" t="s">
        <v>65</v>
      </c>
      <c r="C98" s="18" t="s">
        <v>115</v>
      </c>
      <c r="D98" s="18" t="s">
        <v>106</v>
      </c>
      <c r="E98" s="18" t="s">
        <v>100</v>
      </c>
      <c r="F98" s="18" t="s">
        <v>100</v>
      </c>
      <c r="G98" s="18" t="s">
        <v>100</v>
      </c>
      <c r="H98" s="19">
        <v>26</v>
      </c>
      <c r="I98" s="19">
        <v>19</v>
      </c>
      <c r="J98" s="19">
        <v>0</v>
      </c>
    </row>
    <row r="99" spans="1:10" x14ac:dyDescent="0.25">
      <c r="A99" s="18">
        <v>1875</v>
      </c>
      <c r="B99" s="18" t="s">
        <v>65</v>
      </c>
      <c r="C99" s="18" t="s">
        <v>115</v>
      </c>
      <c r="D99" s="18" t="s">
        <v>106</v>
      </c>
      <c r="E99" s="18" t="s">
        <v>101</v>
      </c>
      <c r="F99" s="18" t="s">
        <v>100</v>
      </c>
      <c r="G99" s="18" t="s">
        <v>100</v>
      </c>
      <c r="H99" s="19">
        <v>52</v>
      </c>
      <c r="I99" s="19">
        <v>38</v>
      </c>
      <c r="J99" s="19">
        <v>0</v>
      </c>
    </row>
    <row r="100" spans="1:10" x14ac:dyDescent="0.25">
      <c r="A100" s="18">
        <v>1885</v>
      </c>
      <c r="B100" s="18" t="s">
        <v>47</v>
      </c>
      <c r="C100" s="18" t="s">
        <v>117</v>
      </c>
      <c r="D100" s="18" t="s">
        <v>105</v>
      </c>
      <c r="E100" s="18" t="s">
        <v>100</v>
      </c>
      <c r="F100" s="18" t="s">
        <v>100</v>
      </c>
      <c r="G100" s="18" t="s">
        <v>100</v>
      </c>
      <c r="H100" s="19">
        <v>70</v>
      </c>
      <c r="I100" s="19">
        <v>70</v>
      </c>
      <c r="J100" s="19">
        <v>0</v>
      </c>
    </row>
    <row r="101" spans="1:10" x14ac:dyDescent="0.25">
      <c r="A101" s="18">
        <v>1885</v>
      </c>
      <c r="B101" s="18" t="s">
        <v>47</v>
      </c>
      <c r="C101" s="18" t="s">
        <v>117</v>
      </c>
      <c r="D101" s="18" t="s">
        <v>105</v>
      </c>
      <c r="E101" s="18" t="s">
        <v>100</v>
      </c>
      <c r="F101" s="18" t="s">
        <v>101</v>
      </c>
      <c r="G101" s="18" t="s">
        <v>100</v>
      </c>
      <c r="H101" s="19">
        <v>140</v>
      </c>
      <c r="I101" s="19">
        <v>140</v>
      </c>
      <c r="J101" s="19">
        <v>1</v>
      </c>
    </row>
    <row r="102" spans="1:10" x14ac:dyDescent="0.25">
      <c r="A102" s="18">
        <v>1885</v>
      </c>
      <c r="B102" s="18" t="s">
        <v>47</v>
      </c>
      <c r="C102" s="18" t="s">
        <v>117</v>
      </c>
      <c r="D102" s="18" t="s">
        <v>105</v>
      </c>
      <c r="E102" s="18" t="s">
        <v>100</v>
      </c>
      <c r="F102" s="18" t="s">
        <v>101</v>
      </c>
      <c r="G102" s="18" t="s">
        <v>101</v>
      </c>
      <c r="H102" s="19">
        <v>3640</v>
      </c>
      <c r="I102" s="19">
        <v>3597</v>
      </c>
      <c r="J102" s="19">
        <v>7</v>
      </c>
    </row>
    <row r="103" spans="1:10" x14ac:dyDescent="0.25">
      <c r="A103" s="18">
        <v>1885</v>
      </c>
      <c r="B103" s="18" t="s">
        <v>47</v>
      </c>
      <c r="C103" s="18" t="s">
        <v>117</v>
      </c>
      <c r="D103" s="18" t="s">
        <v>105</v>
      </c>
      <c r="E103" s="18" t="s">
        <v>101</v>
      </c>
      <c r="F103" s="18" t="s">
        <v>100</v>
      </c>
      <c r="G103" s="18" t="s">
        <v>100</v>
      </c>
      <c r="H103" s="19">
        <v>140</v>
      </c>
      <c r="I103" s="19">
        <v>140</v>
      </c>
      <c r="J103" s="19">
        <v>1</v>
      </c>
    </row>
    <row r="104" spans="1:10" x14ac:dyDescent="0.25">
      <c r="A104" s="18">
        <v>1885</v>
      </c>
      <c r="B104" s="18" t="s">
        <v>47</v>
      </c>
      <c r="C104" s="18" t="s">
        <v>117</v>
      </c>
      <c r="D104" s="18" t="s">
        <v>108</v>
      </c>
      <c r="E104" s="18" t="s">
        <v>100</v>
      </c>
      <c r="F104" s="18" t="s">
        <v>100</v>
      </c>
      <c r="G104" s="18" t="s">
        <v>100</v>
      </c>
      <c r="H104" s="19">
        <v>1</v>
      </c>
      <c r="I104" s="19">
        <v>1</v>
      </c>
      <c r="J104" s="19">
        <v>0</v>
      </c>
    </row>
    <row r="105" spans="1:10" x14ac:dyDescent="0.25">
      <c r="A105" s="18">
        <v>1885</v>
      </c>
      <c r="B105" s="18" t="s">
        <v>47</v>
      </c>
      <c r="C105" s="18" t="s">
        <v>117</v>
      </c>
      <c r="D105" s="18" t="s">
        <v>108</v>
      </c>
      <c r="E105" s="18" t="s">
        <v>100</v>
      </c>
      <c r="F105" s="18" t="s">
        <v>101</v>
      </c>
      <c r="G105" s="18" t="s">
        <v>100</v>
      </c>
      <c r="H105" s="19">
        <v>2</v>
      </c>
      <c r="I105" s="19">
        <v>2</v>
      </c>
      <c r="J105" s="19">
        <v>0</v>
      </c>
    </row>
    <row r="106" spans="1:10" x14ac:dyDescent="0.25">
      <c r="A106" s="18">
        <v>1885</v>
      </c>
      <c r="B106" s="18" t="s">
        <v>47</v>
      </c>
      <c r="C106" s="18" t="s">
        <v>117</v>
      </c>
      <c r="D106" s="18" t="s">
        <v>108</v>
      </c>
      <c r="E106" s="18" t="s">
        <v>100</v>
      </c>
      <c r="F106" s="18" t="s">
        <v>101</v>
      </c>
      <c r="G106" s="18" t="s">
        <v>101</v>
      </c>
      <c r="H106" s="19">
        <v>52</v>
      </c>
      <c r="I106" s="19">
        <v>52</v>
      </c>
      <c r="J106" s="19">
        <v>2</v>
      </c>
    </row>
    <row r="107" spans="1:10" x14ac:dyDescent="0.25">
      <c r="A107" s="18">
        <v>1885</v>
      </c>
      <c r="B107" s="18" t="s">
        <v>47</v>
      </c>
      <c r="C107" s="18" t="s">
        <v>117</v>
      </c>
      <c r="D107" s="18" t="s">
        <v>108</v>
      </c>
      <c r="E107" s="18" t="s">
        <v>101</v>
      </c>
      <c r="F107" s="18" t="s">
        <v>100</v>
      </c>
      <c r="G107" s="18" t="s">
        <v>100</v>
      </c>
      <c r="H107" s="19">
        <v>2</v>
      </c>
      <c r="I107" s="19">
        <v>2</v>
      </c>
      <c r="J107" s="19">
        <v>0</v>
      </c>
    </row>
    <row r="108" spans="1:10" x14ac:dyDescent="0.25">
      <c r="A108" s="18">
        <v>1885</v>
      </c>
      <c r="B108" s="18" t="s">
        <v>47</v>
      </c>
      <c r="C108" s="18" t="s">
        <v>117</v>
      </c>
      <c r="D108" s="18" t="s">
        <v>106</v>
      </c>
      <c r="E108" s="18" t="s">
        <v>100</v>
      </c>
      <c r="F108" s="18" t="s">
        <v>100</v>
      </c>
      <c r="G108" s="18" t="s">
        <v>100</v>
      </c>
      <c r="H108" s="19">
        <v>23</v>
      </c>
      <c r="I108" s="19">
        <v>23</v>
      </c>
      <c r="J108" s="19">
        <v>0</v>
      </c>
    </row>
    <row r="109" spans="1:10" x14ac:dyDescent="0.25">
      <c r="A109" s="18">
        <v>1885</v>
      </c>
      <c r="B109" s="18" t="s">
        <v>47</v>
      </c>
      <c r="C109" s="18" t="s">
        <v>117</v>
      </c>
      <c r="D109" s="18" t="s">
        <v>106</v>
      </c>
      <c r="E109" s="18" t="s">
        <v>100</v>
      </c>
      <c r="F109" s="18" t="s">
        <v>101</v>
      </c>
      <c r="G109" s="18" t="s">
        <v>100</v>
      </c>
      <c r="H109" s="19">
        <v>46</v>
      </c>
      <c r="I109" s="19">
        <v>46</v>
      </c>
      <c r="J109" s="19">
        <v>0</v>
      </c>
    </row>
    <row r="110" spans="1:10" x14ac:dyDescent="0.25">
      <c r="A110" s="18">
        <v>1885</v>
      </c>
      <c r="B110" s="18" t="s">
        <v>47</v>
      </c>
      <c r="C110" s="18" t="s">
        <v>117</v>
      </c>
      <c r="D110" s="18" t="s">
        <v>106</v>
      </c>
      <c r="E110" s="18" t="s">
        <v>100</v>
      </c>
      <c r="F110" s="18" t="s">
        <v>101</v>
      </c>
      <c r="G110" s="18" t="s">
        <v>101</v>
      </c>
      <c r="H110" s="19">
        <v>1196</v>
      </c>
      <c r="I110" s="19">
        <v>1184</v>
      </c>
      <c r="J110" s="19">
        <v>0</v>
      </c>
    </row>
    <row r="111" spans="1:10" x14ac:dyDescent="0.25">
      <c r="A111" s="18">
        <v>1885</v>
      </c>
      <c r="B111" s="18" t="s">
        <v>47</v>
      </c>
      <c r="C111" s="18" t="s">
        <v>117</v>
      </c>
      <c r="D111" s="18" t="s">
        <v>106</v>
      </c>
      <c r="E111" s="18" t="s">
        <v>101</v>
      </c>
      <c r="F111" s="18" t="s">
        <v>100</v>
      </c>
      <c r="G111" s="18" t="s">
        <v>100</v>
      </c>
      <c r="H111" s="19">
        <v>46</v>
      </c>
      <c r="I111" s="19">
        <v>46</v>
      </c>
      <c r="J111" s="19">
        <v>2</v>
      </c>
    </row>
    <row r="112" spans="1:10" x14ac:dyDescent="0.25">
      <c r="A112" s="18">
        <v>1885</v>
      </c>
      <c r="B112" s="18" t="s">
        <v>56</v>
      </c>
      <c r="C112" s="18" t="s">
        <v>112</v>
      </c>
      <c r="D112" s="18" t="s">
        <v>105</v>
      </c>
      <c r="E112" s="18" t="s">
        <v>100</v>
      </c>
      <c r="F112" s="18" t="s">
        <v>100</v>
      </c>
      <c r="G112" s="18" t="s">
        <v>100</v>
      </c>
      <c r="H112" s="19">
        <v>82</v>
      </c>
      <c r="I112" s="19">
        <v>82</v>
      </c>
      <c r="J112" s="19">
        <v>0</v>
      </c>
    </row>
    <row r="113" spans="1:10" x14ac:dyDescent="0.25">
      <c r="A113" s="18">
        <v>1885</v>
      </c>
      <c r="B113" s="18" t="s">
        <v>56</v>
      </c>
      <c r="C113" s="18" t="s">
        <v>112</v>
      </c>
      <c r="D113" s="18" t="s">
        <v>108</v>
      </c>
      <c r="E113" s="18" t="s">
        <v>100</v>
      </c>
      <c r="F113" s="18" t="s">
        <v>100</v>
      </c>
      <c r="G113" s="18" t="s">
        <v>100</v>
      </c>
      <c r="H113" s="19">
        <v>1</v>
      </c>
      <c r="I113" s="19">
        <v>1</v>
      </c>
      <c r="J113" s="19">
        <v>0</v>
      </c>
    </row>
    <row r="114" spans="1:10" x14ac:dyDescent="0.25">
      <c r="A114" s="18">
        <v>1885</v>
      </c>
      <c r="B114" s="18" t="s">
        <v>56</v>
      </c>
      <c r="C114" s="18" t="s">
        <v>112</v>
      </c>
      <c r="D114" s="18" t="s">
        <v>106</v>
      </c>
      <c r="E114" s="18" t="s">
        <v>100</v>
      </c>
      <c r="F114" s="18" t="s">
        <v>100</v>
      </c>
      <c r="G114" s="18" t="s">
        <v>100</v>
      </c>
      <c r="H114" s="19">
        <v>24</v>
      </c>
      <c r="I114" s="19">
        <v>24</v>
      </c>
      <c r="J114" s="19">
        <v>0</v>
      </c>
    </row>
    <row r="115" spans="1:10" x14ac:dyDescent="0.25">
      <c r="A115" s="18">
        <v>1885</v>
      </c>
      <c r="B115" s="18" t="s">
        <v>65</v>
      </c>
      <c r="C115" s="18" t="s">
        <v>113</v>
      </c>
      <c r="D115" s="18" t="s">
        <v>108</v>
      </c>
      <c r="E115" s="18" t="s">
        <v>100</v>
      </c>
      <c r="F115" s="18" t="s">
        <v>100</v>
      </c>
      <c r="G115" s="18" t="s">
        <v>100</v>
      </c>
      <c r="H115" s="19">
        <v>1</v>
      </c>
      <c r="I115" s="19">
        <v>1</v>
      </c>
      <c r="J115" s="19">
        <v>0</v>
      </c>
    </row>
    <row r="116" spans="1:10" x14ac:dyDescent="0.25">
      <c r="A116" s="18">
        <v>1885</v>
      </c>
      <c r="B116" s="18" t="s">
        <v>65</v>
      </c>
      <c r="C116" s="18" t="s">
        <v>113</v>
      </c>
      <c r="D116" s="18" t="s">
        <v>108</v>
      </c>
      <c r="E116" s="18" t="s">
        <v>100</v>
      </c>
      <c r="F116" s="18" t="s">
        <v>101</v>
      </c>
      <c r="G116" s="18" t="s">
        <v>100</v>
      </c>
      <c r="H116" s="19">
        <v>2</v>
      </c>
      <c r="I116" s="19">
        <v>2</v>
      </c>
      <c r="J116" s="19">
        <v>0</v>
      </c>
    </row>
    <row r="117" spans="1:10" x14ac:dyDescent="0.25">
      <c r="A117" s="18">
        <v>1885</v>
      </c>
      <c r="B117" s="18" t="s">
        <v>65</v>
      </c>
      <c r="C117" s="18" t="s">
        <v>113</v>
      </c>
      <c r="D117" s="18" t="s">
        <v>106</v>
      </c>
      <c r="E117" s="18" t="s">
        <v>100</v>
      </c>
      <c r="F117" s="18" t="s">
        <v>100</v>
      </c>
      <c r="G117" s="18" t="s">
        <v>100</v>
      </c>
      <c r="H117" s="19">
        <v>26</v>
      </c>
      <c r="I117" s="19">
        <v>22</v>
      </c>
      <c r="J117" s="19">
        <v>0</v>
      </c>
    </row>
    <row r="118" spans="1:10" x14ac:dyDescent="0.25">
      <c r="A118" s="18">
        <v>1885</v>
      </c>
      <c r="B118" s="18" t="s">
        <v>65</v>
      </c>
      <c r="C118" s="18" t="s">
        <v>113</v>
      </c>
      <c r="D118" s="18" t="s">
        <v>106</v>
      </c>
      <c r="E118" s="18" t="s">
        <v>100</v>
      </c>
      <c r="F118" s="18" t="s">
        <v>101</v>
      </c>
      <c r="G118" s="18" t="s">
        <v>100</v>
      </c>
      <c r="H118" s="19">
        <v>52</v>
      </c>
      <c r="I118" s="19">
        <v>44</v>
      </c>
      <c r="J118" s="19">
        <v>1</v>
      </c>
    </row>
    <row r="119" spans="1:10" x14ac:dyDescent="0.25">
      <c r="A119" s="18">
        <v>1885</v>
      </c>
      <c r="B119" s="18" t="s">
        <v>65</v>
      </c>
      <c r="C119" s="18" t="s">
        <v>118</v>
      </c>
      <c r="D119" s="18" t="s">
        <v>108</v>
      </c>
      <c r="E119" s="18" t="s">
        <v>100</v>
      </c>
      <c r="F119" s="18" t="s">
        <v>100</v>
      </c>
      <c r="G119" s="18" t="s">
        <v>100</v>
      </c>
      <c r="H119" s="19">
        <v>2</v>
      </c>
      <c r="I119" s="19">
        <v>1</v>
      </c>
      <c r="J119" s="19">
        <v>1</v>
      </c>
    </row>
    <row r="120" spans="1:10" x14ac:dyDescent="0.25">
      <c r="A120" s="18">
        <v>1885</v>
      </c>
      <c r="B120" s="18" t="s">
        <v>65</v>
      </c>
      <c r="C120" s="18" t="s">
        <v>118</v>
      </c>
      <c r="D120" s="18" t="s">
        <v>108</v>
      </c>
      <c r="E120" s="18" t="s">
        <v>100</v>
      </c>
      <c r="F120" s="18" t="s">
        <v>100</v>
      </c>
      <c r="G120" s="18" t="s">
        <v>101</v>
      </c>
      <c r="H120" s="19">
        <v>11</v>
      </c>
      <c r="I120" s="19">
        <v>11</v>
      </c>
      <c r="J120" s="19">
        <v>0</v>
      </c>
    </row>
    <row r="121" spans="1:10" x14ac:dyDescent="0.25">
      <c r="A121" s="18">
        <v>1885</v>
      </c>
      <c r="B121" s="18" t="s">
        <v>65</v>
      </c>
      <c r="C121" s="18" t="s">
        <v>115</v>
      </c>
      <c r="D121" s="18" t="s">
        <v>108</v>
      </c>
      <c r="E121" s="18" t="s">
        <v>100</v>
      </c>
      <c r="F121" s="18" t="s">
        <v>100</v>
      </c>
      <c r="G121" s="18" t="s">
        <v>100</v>
      </c>
      <c r="H121" s="19">
        <v>1</v>
      </c>
      <c r="I121" s="19">
        <v>1</v>
      </c>
      <c r="J121" s="19">
        <v>0</v>
      </c>
    </row>
    <row r="122" spans="1:10" x14ac:dyDescent="0.25">
      <c r="A122" s="18">
        <v>1885</v>
      </c>
      <c r="B122" s="18" t="s">
        <v>65</v>
      </c>
      <c r="C122" s="18" t="s">
        <v>115</v>
      </c>
      <c r="D122" s="18" t="s">
        <v>108</v>
      </c>
      <c r="E122" s="18" t="s">
        <v>101</v>
      </c>
      <c r="F122" s="18" t="s">
        <v>100</v>
      </c>
      <c r="G122" s="18" t="s">
        <v>100</v>
      </c>
      <c r="H122" s="19">
        <v>2</v>
      </c>
      <c r="I122" s="19">
        <v>2</v>
      </c>
      <c r="J122" s="19">
        <v>0</v>
      </c>
    </row>
    <row r="123" spans="1:10" x14ac:dyDescent="0.25">
      <c r="A123" s="18">
        <v>1885</v>
      </c>
      <c r="B123" s="18" t="s">
        <v>65</v>
      </c>
      <c r="C123" s="18" t="s">
        <v>115</v>
      </c>
      <c r="D123" s="18" t="s">
        <v>106</v>
      </c>
      <c r="E123" s="18" t="s">
        <v>100</v>
      </c>
      <c r="F123" s="18" t="s">
        <v>100</v>
      </c>
      <c r="G123" s="18" t="s">
        <v>100</v>
      </c>
      <c r="H123" s="19">
        <v>26</v>
      </c>
      <c r="I123" s="19">
        <v>22</v>
      </c>
      <c r="J123" s="19">
        <v>0</v>
      </c>
    </row>
    <row r="124" spans="1:10" x14ac:dyDescent="0.25">
      <c r="A124" s="18">
        <v>1885</v>
      </c>
      <c r="B124" s="18" t="s">
        <v>65</v>
      </c>
      <c r="C124" s="18" t="s">
        <v>115</v>
      </c>
      <c r="D124" s="18" t="s">
        <v>106</v>
      </c>
      <c r="E124" s="18" t="s">
        <v>101</v>
      </c>
      <c r="F124" s="18" t="s">
        <v>100</v>
      </c>
      <c r="G124" s="18" t="s">
        <v>100</v>
      </c>
      <c r="H124" s="19">
        <v>52</v>
      </c>
      <c r="I124" s="19">
        <v>44</v>
      </c>
      <c r="J124" s="19">
        <v>0</v>
      </c>
    </row>
    <row r="125" spans="1:10" x14ac:dyDescent="0.25">
      <c r="A125" s="18">
        <v>1895</v>
      </c>
      <c r="B125" s="18" t="s">
        <v>50</v>
      </c>
      <c r="C125" s="18" t="s">
        <v>119</v>
      </c>
      <c r="D125" s="18" t="s">
        <v>105</v>
      </c>
      <c r="E125" s="18" t="s">
        <v>100</v>
      </c>
      <c r="F125" s="18" t="s">
        <v>101</v>
      </c>
      <c r="G125" s="18" t="s">
        <v>101</v>
      </c>
      <c r="H125" s="19">
        <v>20</v>
      </c>
      <c r="I125" s="19">
        <v>20</v>
      </c>
      <c r="J125" s="19">
        <v>0</v>
      </c>
    </row>
    <row r="126" spans="1:10" x14ac:dyDescent="0.25">
      <c r="A126" s="18">
        <v>1895</v>
      </c>
      <c r="B126" s="18" t="s">
        <v>50</v>
      </c>
      <c r="C126" s="18" t="s">
        <v>119</v>
      </c>
      <c r="D126" s="18" t="s">
        <v>106</v>
      </c>
      <c r="E126" s="18" t="s">
        <v>100</v>
      </c>
      <c r="F126" s="18" t="s">
        <v>101</v>
      </c>
      <c r="G126" s="18" t="s">
        <v>101</v>
      </c>
      <c r="H126" s="19">
        <v>10</v>
      </c>
      <c r="I126" s="19">
        <v>10</v>
      </c>
      <c r="J126" s="19">
        <v>0</v>
      </c>
    </row>
    <row r="127" spans="1:10" x14ac:dyDescent="0.25">
      <c r="A127" s="18">
        <v>1895</v>
      </c>
      <c r="B127" s="18" t="s">
        <v>50</v>
      </c>
      <c r="C127" s="18" t="s">
        <v>120</v>
      </c>
      <c r="D127" s="18" t="s">
        <v>105</v>
      </c>
      <c r="E127" s="18" t="s">
        <v>100</v>
      </c>
      <c r="F127" s="18" t="s">
        <v>100</v>
      </c>
      <c r="G127" s="18" t="s">
        <v>100</v>
      </c>
      <c r="H127" s="19">
        <v>73</v>
      </c>
      <c r="I127" s="19">
        <v>73</v>
      </c>
      <c r="J127" s="19">
        <v>0</v>
      </c>
    </row>
    <row r="128" spans="1:10" x14ac:dyDescent="0.25">
      <c r="A128" s="18">
        <v>1895</v>
      </c>
      <c r="B128" s="18" t="s">
        <v>50</v>
      </c>
      <c r="C128" s="18" t="s">
        <v>120</v>
      </c>
      <c r="D128" s="18" t="s">
        <v>105</v>
      </c>
      <c r="E128" s="18" t="s">
        <v>100</v>
      </c>
      <c r="F128" s="18" t="s">
        <v>101</v>
      </c>
      <c r="G128" s="18" t="s">
        <v>100</v>
      </c>
      <c r="H128" s="19">
        <v>146</v>
      </c>
      <c r="I128" s="19">
        <v>146</v>
      </c>
      <c r="J128" s="19">
        <v>1</v>
      </c>
    </row>
    <row r="129" spans="1:10" x14ac:dyDescent="0.25">
      <c r="A129" s="18">
        <v>1895</v>
      </c>
      <c r="B129" s="18" t="s">
        <v>50</v>
      </c>
      <c r="C129" s="18" t="s">
        <v>120</v>
      </c>
      <c r="D129" s="18" t="s">
        <v>105</v>
      </c>
      <c r="E129" s="18" t="s">
        <v>100</v>
      </c>
      <c r="F129" s="18" t="s">
        <v>101</v>
      </c>
      <c r="G129" s="18" t="s">
        <v>101</v>
      </c>
      <c r="H129" s="19">
        <v>3796</v>
      </c>
      <c r="I129" s="19">
        <v>3759</v>
      </c>
      <c r="J129" s="19">
        <v>29</v>
      </c>
    </row>
    <row r="130" spans="1:10" x14ac:dyDescent="0.25">
      <c r="A130" s="18">
        <v>1895</v>
      </c>
      <c r="B130" s="18" t="s">
        <v>50</v>
      </c>
      <c r="C130" s="18" t="s">
        <v>120</v>
      </c>
      <c r="D130" s="18" t="s">
        <v>105</v>
      </c>
      <c r="E130" s="18" t="s">
        <v>101</v>
      </c>
      <c r="F130" s="18" t="s">
        <v>100</v>
      </c>
      <c r="G130" s="18" t="s">
        <v>100</v>
      </c>
      <c r="H130" s="19">
        <v>146</v>
      </c>
      <c r="I130" s="19">
        <v>146</v>
      </c>
      <c r="J130" s="19">
        <v>7</v>
      </c>
    </row>
    <row r="131" spans="1:10" x14ac:dyDescent="0.25">
      <c r="A131" s="18">
        <v>1895</v>
      </c>
      <c r="B131" s="18" t="s">
        <v>50</v>
      </c>
      <c r="C131" s="18" t="s">
        <v>120</v>
      </c>
      <c r="D131" s="18" t="s">
        <v>108</v>
      </c>
      <c r="E131" s="18" t="s">
        <v>100</v>
      </c>
      <c r="F131" s="18" t="s">
        <v>100</v>
      </c>
      <c r="G131" s="18" t="s">
        <v>100</v>
      </c>
      <c r="H131" s="19">
        <v>1</v>
      </c>
      <c r="I131" s="19">
        <v>1</v>
      </c>
      <c r="J131" s="19">
        <v>0</v>
      </c>
    </row>
    <row r="132" spans="1:10" x14ac:dyDescent="0.25">
      <c r="A132" s="18">
        <v>1895</v>
      </c>
      <c r="B132" s="18" t="s">
        <v>50</v>
      </c>
      <c r="C132" s="18" t="s">
        <v>120</v>
      </c>
      <c r="D132" s="18" t="s">
        <v>108</v>
      </c>
      <c r="E132" s="18" t="s">
        <v>100</v>
      </c>
      <c r="F132" s="18" t="s">
        <v>101</v>
      </c>
      <c r="G132" s="18" t="s">
        <v>100</v>
      </c>
      <c r="H132" s="19">
        <v>2</v>
      </c>
      <c r="I132" s="19">
        <v>2</v>
      </c>
      <c r="J132" s="19">
        <v>0</v>
      </c>
    </row>
    <row r="133" spans="1:10" x14ac:dyDescent="0.25">
      <c r="A133" s="18">
        <v>1895</v>
      </c>
      <c r="B133" s="18" t="s">
        <v>50</v>
      </c>
      <c r="C133" s="18" t="s">
        <v>120</v>
      </c>
      <c r="D133" s="18" t="s">
        <v>108</v>
      </c>
      <c r="E133" s="18" t="s">
        <v>100</v>
      </c>
      <c r="F133" s="18" t="s">
        <v>101</v>
      </c>
      <c r="G133" s="18" t="s">
        <v>101</v>
      </c>
      <c r="H133" s="19">
        <v>52</v>
      </c>
      <c r="I133" s="19">
        <v>52</v>
      </c>
      <c r="J133" s="19">
        <v>0</v>
      </c>
    </row>
    <row r="134" spans="1:10" x14ac:dyDescent="0.25">
      <c r="A134" s="18">
        <v>1895</v>
      </c>
      <c r="B134" s="18" t="s">
        <v>50</v>
      </c>
      <c r="C134" s="18" t="s">
        <v>120</v>
      </c>
      <c r="D134" s="18" t="s">
        <v>108</v>
      </c>
      <c r="E134" s="18" t="s">
        <v>101</v>
      </c>
      <c r="F134" s="18" t="s">
        <v>100</v>
      </c>
      <c r="G134" s="18" t="s">
        <v>100</v>
      </c>
      <c r="H134" s="19">
        <v>2</v>
      </c>
      <c r="I134" s="19">
        <v>2</v>
      </c>
      <c r="J134" s="19">
        <v>0</v>
      </c>
    </row>
    <row r="135" spans="1:10" x14ac:dyDescent="0.25">
      <c r="A135" s="18">
        <v>1895</v>
      </c>
      <c r="B135" s="18" t="s">
        <v>50</v>
      </c>
      <c r="C135" s="18" t="s">
        <v>120</v>
      </c>
      <c r="D135" s="18" t="s">
        <v>106</v>
      </c>
      <c r="E135" s="18" t="s">
        <v>100</v>
      </c>
      <c r="F135" s="18" t="s">
        <v>100</v>
      </c>
      <c r="G135" s="18" t="s">
        <v>100</v>
      </c>
      <c r="H135" s="19">
        <v>23</v>
      </c>
      <c r="I135" s="19">
        <v>23</v>
      </c>
      <c r="J135" s="19">
        <v>1</v>
      </c>
    </row>
    <row r="136" spans="1:10" x14ac:dyDescent="0.25">
      <c r="A136" s="18">
        <v>1895</v>
      </c>
      <c r="B136" s="18" t="s">
        <v>50</v>
      </c>
      <c r="C136" s="18" t="s">
        <v>120</v>
      </c>
      <c r="D136" s="18" t="s">
        <v>106</v>
      </c>
      <c r="E136" s="18" t="s">
        <v>100</v>
      </c>
      <c r="F136" s="18" t="s">
        <v>101</v>
      </c>
      <c r="G136" s="18" t="s">
        <v>100</v>
      </c>
      <c r="H136" s="19">
        <v>46</v>
      </c>
      <c r="I136" s="19">
        <v>46</v>
      </c>
      <c r="J136" s="19">
        <v>1</v>
      </c>
    </row>
    <row r="137" spans="1:10" x14ac:dyDescent="0.25">
      <c r="A137" s="18">
        <v>1895</v>
      </c>
      <c r="B137" s="18" t="s">
        <v>50</v>
      </c>
      <c r="C137" s="18" t="s">
        <v>120</v>
      </c>
      <c r="D137" s="18" t="s">
        <v>106</v>
      </c>
      <c r="E137" s="18" t="s">
        <v>100</v>
      </c>
      <c r="F137" s="18" t="s">
        <v>101</v>
      </c>
      <c r="G137" s="18" t="s">
        <v>101</v>
      </c>
      <c r="H137" s="19">
        <v>1196</v>
      </c>
      <c r="I137" s="19">
        <v>1185</v>
      </c>
      <c r="J137" s="19">
        <v>15</v>
      </c>
    </row>
    <row r="138" spans="1:10" x14ac:dyDescent="0.25">
      <c r="A138" s="18">
        <v>1895</v>
      </c>
      <c r="B138" s="18" t="s">
        <v>50</v>
      </c>
      <c r="C138" s="18" t="s">
        <v>120</v>
      </c>
      <c r="D138" s="18" t="s">
        <v>106</v>
      </c>
      <c r="E138" s="18" t="s">
        <v>101</v>
      </c>
      <c r="F138" s="18" t="s">
        <v>100</v>
      </c>
      <c r="G138" s="18" t="s">
        <v>100</v>
      </c>
      <c r="H138" s="19">
        <v>46</v>
      </c>
      <c r="I138" s="19">
        <v>46</v>
      </c>
      <c r="J138" s="19">
        <v>2</v>
      </c>
    </row>
    <row r="139" spans="1:10" x14ac:dyDescent="0.25">
      <c r="A139" s="18">
        <v>1895</v>
      </c>
      <c r="B139" s="18" t="s">
        <v>56</v>
      </c>
      <c r="C139" s="18" t="s">
        <v>112</v>
      </c>
      <c r="D139" s="18" t="s">
        <v>105</v>
      </c>
      <c r="E139" s="18" t="s">
        <v>100</v>
      </c>
      <c r="F139" s="18" t="s">
        <v>100</v>
      </c>
      <c r="G139" s="18" t="s">
        <v>100</v>
      </c>
      <c r="H139" s="19">
        <v>82</v>
      </c>
      <c r="I139" s="19">
        <v>82</v>
      </c>
      <c r="J139" s="19">
        <v>0</v>
      </c>
    </row>
    <row r="140" spans="1:10" x14ac:dyDescent="0.25">
      <c r="A140" s="18">
        <v>1895</v>
      </c>
      <c r="B140" s="18" t="s">
        <v>56</v>
      </c>
      <c r="C140" s="18" t="s">
        <v>112</v>
      </c>
      <c r="D140" s="18" t="s">
        <v>108</v>
      </c>
      <c r="E140" s="18" t="s">
        <v>100</v>
      </c>
      <c r="F140" s="18" t="s">
        <v>100</v>
      </c>
      <c r="G140" s="18" t="s">
        <v>100</v>
      </c>
      <c r="H140" s="19">
        <v>1</v>
      </c>
      <c r="I140" s="19">
        <v>1</v>
      </c>
      <c r="J140" s="19">
        <v>0</v>
      </c>
    </row>
    <row r="141" spans="1:10" x14ac:dyDescent="0.25">
      <c r="A141" s="18">
        <v>1895</v>
      </c>
      <c r="B141" s="18" t="s">
        <v>56</v>
      </c>
      <c r="C141" s="18" t="s">
        <v>112</v>
      </c>
      <c r="D141" s="18" t="s">
        <v>106</v>
      </c>
      <c r="E141" s="18" t="s">
        <v>100</v>
      </c>
      <c r="F141" s="18" t="s">
        <v>100</v>
      </c>
      <c r="G141" s="18" t="s">
        <v>100</v>
      </c>
      <c r="H141" s="19">
        <v>24</v>
      </c>
      <c r="I141" s="19">
        <v>24</v>
      </c>
      <c r="J141" s="19">
        <v>0</v>
      </c>
    </row>
    <row r="142" spans="1:10" x14ac:dyDescent="0.25">
      <c r="A142" s="18">
        <v>1895</v>
      </c>
      <c r="B142" s="18" t="s">
        <v>56</v>
      </c>
      <c r="C142" s="18" t="s">
        <v>121</v>
      </c>
      <c r="D142" s="18" t="s">
        <v>105</v>
      </c>
      <c r="E142" s="18" t="s">
        <v>101</v>
      </c>
      <c r="F142" s="18" t="s">
        <v>100</v>
      </c>
      <c r="G142" s="18" t="s">
        <v>100</v>
      </c>
      <c r="H142" s="19">
        <v>164</v>
      </c>
      <c r="I142" s="19">
        <v>146</v>
      </c>
      <c r="J142" s="19">
        <v>0</v>
      </c>
    </row>
    <row r="143" spans="1:10" x14ac:dyDescent="0.25">
      <c r="A143" s="18">
        <v>1895</v>
      </c>
      <c r="B143" s="18" t="s">
        <v>56</v>
      </c>
      <c r="C143" s="18" t="s">
        <v>121</v>
      </c>
      <c r="D143" s="18" t="s">
        <v>108</v>
      </c>
      <c r="E143" s="18" t="s">
        <v>101</v>
      </c>
      <c r="F143" s="18" t="s">
        <v>100</v>
      </c>
      <c r="G143" s="18" t="s">
        <v>100</v>
      </c>
      <c r="H143" s="19">
        <v>2</v>
      </c>
      <c r="I143" s="19">
        <v>2</v>
      </c>
      <c r="J143" s="19">
        <v>2</v>
      </c>
    </row>
    <row r="144" spans="1:10" x14ac:dyDescent="0.25">
      <c r="A144" s="18">
        <v>1895</v>
      </c>
      <c r="B144" s="18" t="s">
        <v>56</v>
      </c>
      <c r="C144" s="18" t="s">
        <v>121</v>
      </c>
      <c r="D144" s="18" t="s">
        <v>106</v>
      </c>
      <c r="E144" s="18" t="s">
        <v>101</v>
      </c>
      <c r="F144" s="18" t="s">
        <v>100</v>
      </c>
      <c r="G144" s="18" t="s">
        <v>100</v>
      </c>
      <c r="H144" s="19">
        <v>48</v>
      </c>
      <c r="I144" s="19">
        <v>48</v>
      </c>
      <c r="J144" s="19">
        <v>0</v>
      </c>
    </row>
    <row r="145" spans="1:10" x14ac:dyDescent="0.25">
      <c r="A145" s="18">
        <v>1895</v>
      </c>
      <c r="B145" s="18" t="s">
        <v>59</v>
      </c>
      <c r="C145" s="18" t="s">
        <v>122</v>
      </c>
      <c r="D145" s="18" t="s">
        <v>108</v>
      </c>
      <c r="E145" s="18" t="s">
        <v>100</v>
      </c>
      <c r="F145" s="18" t="s">
        <v>100</v>
      </c>
      <c r="G145" s="18" t="s">
        <v>100</v>
      </c>
      <c r="H145" s="19">
        <v>1</v>
      </c>
      <c r="I145" s="19">
        <v>1</v>
      </c>
      <c r="J145" s="19">
        <v>0</v>
      </c>
    </row>
    <row r="146" spans="1:10" x14ac:dyDescent="0.25">
      <c r="A146" s="18">
        <v>1895</v>
      </c>
      <c r="B146" s="18" t="s">
        <v>59</v>
      </c>
      <c r="C146" s="18" t="s">
        <v>122</v>
      </c>
      <c r="D146" s="18" t="s">
        <v>108</v>
      </c>
      <c r="E146" s="18" t="s">
        <v>101</v>
      </c>
      <c r="F146" s="18" t="s">
        <v>100</v>
      </c>
      <c r="G146" s="18" t="s">
        <v>100</v>
      </c>
      <c r="H146" s="19">
        <v>2</v>
      </c>
      <c r="I146" s="19">
        <v>2</v>
      </c>
      <c r="J146" s="19">
        <v>0</v>
      </c>
    </row>
    <row r="147" spans="1:10" x14ac:dyDescent="0.25">
      <c r="A147" s="18">
        <v>1895</v>
      </c>
      <c r="B147" s="18" t="s">
        <v>59</v>
      </c>
      <c r="C147" s="18" t="s">
        <v>122</v>
      </c>
      <c r="D147" s="18" t="s">
        <v>106</v>
      </c>
      <c r="E147" s="18" t="s">
        <v>100</v>
      </c>
      <c r="F147" s="18" t="s">
        <v>100</v>
      </c>
      <c r="G147" s="18" t="s">
        <v>100</v>
      </c>
      <c r="H147" s="19">
        <v>17</v>
      </c>
      <c r="I147" s="19">
        <v>16</v>
      </c>
      <c r="J147" s="19">
        <v>0</v>
      </c>
    </row>
    <row r="148" spans="1:10" x14ac:dyDescent="0.25">
      <c r="A148" s="18">
        <v>1895</v>
      </c>
      <c r="B148" s="18" t="s">
        <v>59</v>
      </c>
      <c r="C148" s="18" t="s">
        <v>122</v>
      </c>
      <c r="D148" s="18" t="s">
        <v>106</v>
      </c>
      <c r="E148" s="18" t="s">
        <v>101</v>
      </c>
      <c r="F148" s="18" t="s">
        <v>100</v>
      </c>
      <c r="G148" s="18" t="s">
        <v>100</v>
      </c>
      <c r="H148" s="19">
        <v>34</v>
      </c>
      <c r="I148" s="19">
        <v>32</v>
      </c>
      <c r="J148" s="19">
        <v>0</v>
      </c>
    </row>
    <row r="149" spans="1:10" x14ac:dyDescent="0.25">
      <c r="A149" s="18">
        <v>1895</v>
      </c>
      <c r="B149" s="18" t="s">
        <v>65</v>
      </c>
      <c r="C149" s="18" t="s">
        <v>113</v>
      </c>
      <c r="D149" s="18" t="s">
        <v>108</v>
      </c>
      <c r="E149" s="18" t="s">
        <v>100</v>
      </c>
      <c r="F149" s="18" t="s">
        <v>100</v>
      </c>
      <c r="G149" s="18" t="s">
        <v>100</v>
      </c>
      <c r="H149" s="19">
        <v>1</v>
      </c>
      <c r="I149" s="19">
        <v>1</v>
      </c>
      <c r="J149" s="19">
        <v>0</v>
      </c>
    </row>
    <row r="150" spans="1:10" x14ac:dyDescent="0.25">
      <c r="A150" s="18">
        <v>1895</v>
      </c>
      <c r="B150" s="18" t="s">
        <v>65</v>
      </c>
      <c r="C150" s="18" t="s">
        <v>113</v>
      </c>
      <c r="D150" s="18" t="s">
        <v>108</v>
      </c>
      <c r="E150" s="18" t="s">
        <v>100</v>
      </c>
      <c r="F150" s="18" t="s">
        <v>101</v>
      </c>
      <c r="G150" s="18" t="s">
        <v>100</v>
      </c>
      <c r="H150" s="19">
        <v>2</v>
      </c>
      <c r="I150" s="19">
        <v>2</v>
      </c>
      <c r="J150" s="19">
        <v>2</v>
      </c>
    </row>
    <row r="151" spans="1:10" x14ac:dyDescent="0.25">
      <c r="A151" s="18">
        <v>1895</v>
      </c>
      <c r="B151" s="18" t="s">
        <v>65</v>
      </c>
      <c r="C151" s="18" t="s">
        <v>113</v>
      </c>
      <c r="D151" s="18" t="s">
        <v>106</v>
      </c>
      <c r="E151" s="18" t="s">
        <v>100</v>
      </c>
      <c r="F151" s="18" t="s">
        <v>100</v>
      </c>
      <c r="G151" s="18" t="s">
        <v>100</v>
      </c>
      <c r="H151" s="19">
        <v>26</v>
      </c>
      <c r="I151" s="19">
        <v>23</v>
      </c>
      <c r="J151" s="19">
        <v>0</v>
      </c>
    </row>
    <row r="152" spans="1:10" x14ac:dyDescent="0.25">
      <c r="A152" s="18">
        <v>1895</v>
      </c>
      <c r="B152" s="18" t="s">
        <v>65</v>
      </c>
      <c r="C152" s="18" t="s">
        <v>113</v>
      </c>
      <c r="D152" s="18" t="s">
        <v>106</v>
      </c>
      <c r="E152" s="18" t="s">
        <v>100</v>
      </c>
      <c r="F152" s="18" t="s">
        <v>101</v>
      </c>
      <c r="G152" s="18" t="s">
        <v>100</v>
      </c>
      <c r="H152" s="19">
        <v>52</v>
      </c>
      <c r="I152" s="19">
        <v>46</v>
      </c>
      <c r="J152" s="19">
        <v>0</v>
      </c>
    </row>
    <row r="153" spans="1:10" x14ac:dyDescent="0.25">
      <c r="A153" s="18">
        <v>1895</v>
      </c>
      <c r="B153" s="18" t="s">
        <v>65</v>
      </c>
      <c r="C153" s="18" t="s">
        <v>118</v>
      </c>
      <c r="D153" s="18" t="s">
        <v>108</v>
      </c>
      <c r="E153" s="18" t="s">
        <v>100</v>
      </c>
      <c r="F153" s="18" t="s">
        <v>100</v>
      </c>
      <c r="G153" s="18" t="s">
        <v>100</v>
      </c>
      <c r="H153" s="19">
        <v>2</v>
      </c>
      <c r="I153" s="19">
        <v>1</v>
      </c>
      <c r="J153" s="19">
        <v>0</v>
      </c>
    </row>
    <row r="154" spans="1:10" x14ac:dyDescent="0.25">
      <c r="A154" s="18">
        <v>1895</v>
      </c>
      <c r="B154" s="18" t="s">
        <v>65</v>
      </c>
      <c r="C154" s="18" t="s">
        <v>118</v>
      </c>
      <c r="D154" s="18" t="s">
        <v>108</v>
      </c>
      <c r="E154" s="18" t="s">
        <v>100</v>
      </c>
      <c r="F154" s="18" t="s">
        <v>100</v>
      </c>
      <c r="G154" s="18" t="s">
        <v>101</v>
      </c>
      <c r="H154" s="19">
        <v>11</v>
      </c>
      <c r="I154" s="19">
        <v>11</v>
      </c>
      <c r="J154" s="19">
        <v>0</v>
      </c>
    </row>
    <row r="155" spans="1:10" x14ac:dyDescent="0.25">
      <c r="A155" s="18">
        <v>1895</v>
      </c>
      <c r="B155" s="18" t="s">
        <v>65</v>
      </c>
      <c r="C155" s="18" t="s">
        <v>115</v>
      </c>
      <c r="D155" s="18" t="s">
        <v>108</v>
      </c>
      <c r="E155" s="18" t="s">
        <v>100</v>
      </c>
      <c r="F155" s="18" t="s">
        <v>100</v>
      </c>
      <c r="G155" s="18" t="s">
        <v>100</v>
      </c>
      <c r="H155" s="19">
        <v>1</v>
      </c>
      <c r="I155" s="19">
        <v>1</v>
      </c>
      <c r="J155" s="19">
        <v>0</v>
      </c>
    </row>
    <row r="156" spans="1:10" x14ac:dyDescent="0.25">
      <c r="A156" s="18">
        <v>1895</v>
      </c>
      <c r="B156" s="18" t="s">
        <v>65</v>
      </c>
      <c r="C156" s="18" t="s">
        <v>115</v>
      </c>
      <c r="D156" s="18" t="s">
        <v>108</v>
      </c>
      <c r="E156" s="18" t="s">
        <v>101</v>
      </c>
      <c r="F156" s="18" t="s">
        <v>100</v>
      </c>
      <c r="G156" s="18" t="s">
        <v>100</v>
      </c>
      <c r="H156" s="19">
        <v>2</v>
      </c>
      <c r="I156" s="19">
        <v>2</v>
      </c>
      <c r="J156" s="19">
        <v>0</v>
      </c>
    </row>
    <row r="157" spans="1:10" x14ac:dyDescent="0.25">
      <c r="A157" s="18">
        <v>1895</v>
      </c>
      <c r="B157" s="18" t="s">
        <v>65</v>
      </c>
      <c r="C157" s="18" t="s">
        <v>115</v>
      </c>
      <c r="D157" s="18" t="s">
        <v>106</v>
      </c>
      <c r="E157" s="18" t="s">
        <v>100</v>
      </c>
      <c r="F157" s="18" t="s">
        <v>100</v>
      </c>
      <c r="G157" s="18" t="s">
        <v>100</v>
      </c>
      <c r="H157" s="19">
        <v>26</v>
      </c>
      <c r="I157" s="19">
        <v>23</v>
      </c>
      <c r="J157" s="19">
        <v>0</v>
      </c>
    </row>
    <row r="158" spans="1:10" x14ac:dyDescent="0.25">
      <c r="A158" s="18">
        <v>1895</v>
      </c>
      <c r="B158" s="18" t="s">
        <v>65</v>
      </c>
      <c r="C158" s="18" t="s">
        <v>115</v>
      </c>
      <c r="D158" s="18" t="s">
        <v>106</v>
      </c>
      <c r="E158" s="18" t="s">
        <v>101</v>
      </c>
      <c r="F158" s="18" t="s">
        <v>100</v>
      </c>
      <c r="G158" s="18" t="s">
        <v>100</v>
      </c>
      <c r="H158" s="19">
        <v>52</v>
      </c>
      <c r="I158" s="19">
        <v>46</v>
      </c>
      <c r="J158" s="19">
        <v>0</v>
      </c>
    </row>
    <row r="159" spans="1:10" x14ac:dyDescent="0.25">
      <c r="A159" s="18">
        <v>1907</v>
      </c>
      <c r="B159" s="18" t="s">
        <v>53</v>
      </c>
      <c r="C159" s="18" t="s">
        <v>112</v>
      </c>
      <c r="D159" s="18" t="s">
        <v>105</v>
      </c>
      <c r="E159" s="18" t="s">
        <v>100</v>
      </c>
      <c r="F159" s="18" t="s">
        <v>100</v>
      </c>
      <c r="G159" s="18" t="s">
        <v>100</v>
      </c>
      <c r="H159" s="19">
        <v>78</v>
      </c>
      <c r="I159" s="19">
        <v>78</v>
      </c>
      <c r="J159" s="19">
        <v>0</v>
      </c>
    </row>
    <row r="160" spans="1:10" x14ac:dyDescent="0.25">
      <c r="A160" s="18">
        <v>1907</v>
      </c>
      <c r="B160" s="18" t="s">
        <v>53</v>
      </c>
      <c r="C160" s="18" t="s">
        <v>112</v>
      </c>
      <c r="D160" s="18" t="s">
        <v>105</v>
      </c>
      <c r="E160" s="18" t="s">
        <v>100</v>
      </c>
      <c r="F160" s="18" t="s">
        <v>101</v>
      </c>
      <c r="G160" s="18" t="s">
        <v>100</v>
      </c>
      <c r="H160" s="19">
        <v>156</v>
      </c>
      <c r="I160" s="19">
        <v>156</v>
      </c>
      <c r="J160" s="19">
        <v>0</v>
      </c>
    </row>
    <row r="161" spans="1:10" x14ac:dyDescent="0.25">
      <c r="A161" s="18">
        <v>1907</v>
      </c>
      <c r="B161" s="18" t="s">
        <v>53</v>
      </c>
      <c r="C161" s="18" t="s">
        <v>112</v>
      </c>
      <c r="D161" s="18" t="s">
        <v>105</v>
      </c>
      <c r="E161" s="18" t="s">
        <v>101</v>
      </c>
      <c r="F161" s="18" t="s">
        <v>100</v>
      </c>
      <c r="G161" s="18" t="s">
        <v>100</v>
      </c>
      <c r="H161" s="19">
        <v>156</v>
      </c>
      <c r="I161" s="19">
        <v>156</v>
      </c>
      <c r="J161" s="19">
        <v>2</v>
      </c>
    </row>
    <row r="162" spans="1:10" x14ac:dyDescent="0.25">
      <c r="A162" s="18">
        <v>1907</v>
      </c>
      <c r="B162" s="18" t="s">
        <v>53</v>
      </c>
      <c r="C162" s="18" t="s">
        <v>112</v>
      </c>
      <c r="D162" s="18" t="s">
        <v>105</v>
      </c>
      <c r="E162" s="18" t="s">
        <v>101</v>
      </c>
      <c r="F162" s="18" t="s">
        <v>101</v>
      </c>
      <c r="G162" s="18" t="s">
        <v>100</v>
      </c>
      <c r="H162" s="19">
        <v>312</v>
      </c>
      <c r="I162" s="19">
        <v>312</v>
      </c>
      <c r="J162" s="19">
        <v>4</v>
      </c>
    </row>
    <row r="163" spans="1:10" x14ac:dyDescent="0.25">
      <c r="A163" s="18">
        <v>1907</v>
      </c>
      <c r="B163" s="18" t="s">
        <v>53</v>
      </c>
      <c r="C163" s="18" t="s">
        <v>112</v>
      </c>
      <c r="D163" s="18" t="s">
        <v>106</v>
      </c>
      <c r="E163" s="18" t="s">
        <v>100</v>
      </c>
      <c r="F163" s="18" t="s">
        <v>100</v>
      </c>
      <c r="G163" s="18" t="s">
        <v>100</v>
      </c>
      <c r="H163" s="19">
        <v>24</v>
      </c>
      <c r="I163" s="19">
        <v>24</v>
      </c>
      <c r="J163" s="19">
        <v>0</v>
      </c>
    </row>
    <row r="164" spans="1:10" x14ac:dyDescent="0.25">
      <c r="A164" s="18">
        <v>1907</v>
      </c>
      <c r="B164" s="18" t="s">
        <v>53</v>
      </c>
      <c r="C164" s="18" t="s">
        <v>112</v>
      </c>
      <c r="D164" s="18" t="s">
        <v>106</v>
      </c>
      <c r="E164" s="18" t="s">
        <v>100</v>
      </c>
      <c r="F164" s="18" t="s">
        <v>101</v>
      </c>
      <c r="G164" s="18" t="s">
        <v>100</v>
      </c>
      <c r="H164" s="19">
        <v>48</v>
      </c>
      <c r="I164" s="19">
        <v>48</v>
      </c>
      <c r="J164" s="19">
        <v>0</v>
      </c>
    </row>
    <row r="165" spans="1:10" x14ac:dyDescent="0.25">
      <c r="A165" s="18">
        <v>1907</v>
      </c>
      <c r="B165" s="18" t="s">
        <v>53</v>
      </c>
      <c r="C165" s="18" t="s">
        <v>112</v>
      </c>
      <c r="D165" s="18" t="s">
        <v>106</v>
      </c>
      <c r="E165" s="18" t="s">
        <v>101</v>
      </c>
      <c r="F165" s="18" t="s">
        <v>100</v>
      </c>
      <c r="G165" s="18" t="s">
        <v>100</v>
      </c>
      <c r="H165" s="19">
        <v>48</v>
      </c>
      <c r="I165" s="19">
        <v>48</v>
      </c>
      <c r="J165" s="19">
        <v>0</v>
      </c>
    </row>
    <row r="166" spans="1:10" x14ac:dyDescent="0.25">
      <c r="A166" s="18">
        <v>1907</v>
      </c>
      <c r="B166" s="18" t="s">
        <v>53</v>
      </c>
      <c r="C166" s="18" t="s">
        <v>112</v>
      </c>
      <c r="D166" s="18" t="s">
        <v>106</v>
      </c>
      <c r="E166" s="18" t="s">
        <v>101</v>
      </c>
      <c r="F166" s="18" t="s">
        <v>101</v>
      </c>
      <c r="G166" s="18" t="s">
        <v>100</v>
      </c>
      <c r="H166" s="19">
        <v>96</v>
      </c>
      <c r="I166" s="19">
        <v>96</v>
      </c>
      <c r="J166" s="19">
        <v>0</v>
      </c>
    </row>
    <row r="167" spans="1:10" x14ac:dyDescent="0.25">
      <c r="A167" s="18">
        <v>1907</v>
      </c>
      <c r="B167" s="18" t="s">
        <v>53</v>
      </c>
      <c r="C167" s="18" t="s">
        <v>118</v>
      </c>
      <c r="D167" s="18" t="s">
        <v>105</v>
      </c>
      <c r="E167" s="18" t="s">
        <v>100</v>
      </c>
      <c r="F167" s="18" t="s">
        <v>100</v>
      </c>
      <c r="G167" s="18" t="s">
        <v>100</v>
      </c>
      <c r="H167" s="19">
        <v>78</v>
      </c>
      <c r="I167" s="19">
        <v>78</v>
      </c>
      <c r="J167" s="19">
        <v>0</v>
      </c>
    </row>
    <row r="168" spans="1:10" x14ac:dyDescent="0.25">
      <c r="A168" s="18">
        <v>1907</v>
      </c>
      <c r="B168" s="18" t="s">
        <v>53</v>
      </c>
      <c r="C168" s="18" t="s">
        <v>118</v>
      </c>
      <c r="D168" s="18" t="s">
        <v>105</v>
      </c>
      <c r="E168" s="18" t="s">
        <v>100</v>
      </c>
      <c r="F168" s="18" t="s">
        <v>100</v>
      </c>
      <c r="G168" s="18" t="s">
        <v>101</v>
      </c>
      <c r="H168" s="19">
        <v>1404</v>
      </c>
      <c r="I168" s="19">
        <v>1403</v>
      </c>
      <c r="J168" s="19">
        <v>0</v>
      </c>
    </row>
    <row r="169" spans="1:10" x14ac:dyDescent="0.25">
      <c r="A169" s="18">
        <v>1907</v>
      </c>
      <c r="B169" s="18" t="s">
        <v>53</v>
      </c>
      <c r="C169" s="18" t="s">
        <v>118</v>
      </c>
      <c r="D169" s="18" t="s">
        <v>105</v>
      </c>
      <c r="E169" s="18" t="s">
        <v>100</v>
      </c>
      <c r="F169" s="18" t="s">
        <v>101</v>
      </c>
      <c r="G169" s="18" t="s">
        <v>100</v>
      </c>
      <c r="H169" s="19">
        <v>156</v>
      </c>
      <c r="I169" s="19">
        <v>156</v>
      </c>
      <c r="J169" s="19">
        <v>0</v>
      </c>
    </row>
    <row r="170" spans="1:10" x14ac:dyDescent="0.25">
      <c r="A170" s="18">
        <v>1907</v>
      </c>
      <c r="B170" s="18" t="s">
        <v>53</v>
      </c>
      <c r="C170" s="18" t="s">
        <v>118</v>
      </c>
      <c r="D170" s="18" t="s">
        <v>105</v>
      </c>
      <c r="E170" s="18" t="s">
        <v>100</v>
      </c>
      <c r="F170" s="18" t="s">
        <v>101</v>
      </c>
      <c r="G170" s="18" t="s">
        <v>101</v>
      </c>
      <c r="H170" s="19">
        <v>2808</v>
      </c>
      <c r="I170" s="19">
        <v>2798</v>
      </c>
      <c r="J170" s="19">
        <v>0</v>
      </c>
    </row>
    <row r="171" spans="1:10" x14ac:dyDescent="0.25">
      <c r="A171" s="18">
        <v>1907</v>
      </c>
      <c r="B171" s="18" t="s">
        <v>53</v>
      </c>
      <c r="C171" s="18" t="s">
        <v>118</v>
      </c>
      <c r="D171" s="18" t="s">
        <v>106</v>
      </c>
      <c r="E171" s="18" t="s">
        <v>100</v>
      </c>
      <c r="F171" s="18" t="s">
        <v>100</v>
      </c>
      <c r="G171" s="18" t="s">
        <v>100</v>
      </c>
      <c r="H171" s="19">
        <v>1</v>
      </c>
      <c r="I171" s="19">
        <v>1</v>
      </c>
      <c r="J171" s="19">
        <v>0</v>
      </c>
    </row>
    <row r="172" spans="1:10" x14ac:dyDescent="0.25">
      <c r="A172" s="18">
        <v>1907</v>
      </c>
      <c r="B172" s="18" t="s">
        <v>53</v>
      </c>
      <c r="C172" s="18" t="s">
        <v>118</v>
      </c>
      <c r="D172" s="18" t="s">
        <v>106</v>
      </c>
      <c r="E172" s="18" t="s">
        <v>100</v>
      </c>
      <c r="F172" s="18" t="s">
        <v>100</v>
      </c>
      <c r="G172" s="18" t="s">
        <v>101</v>
      </c>
      <c r="H172" s="19">
        <v>18</v>
      </c>
      <c r="I172" s="19">
        <v>18</v>
      </c>
      <c r="J172" s="19">
        <v>0</v>
      </c>
    </row>
    <row r="173" spans="1:10" x14ac:dyDescent="0.25">
      <c r="A173" s="18">
        <v>1907</v>
      </c>
      <c r="B173" s="18" t="s">
        <v>53</v>
      </c>
      <c r="C173" s="18" t="s">
        <v>118</v>
      </c>
      <c r="D173" s="18" t="s">
        <v>106</v>
      </c>
      <c r="E173" s="18" t="s">
        <v>100</v>
      </c>
      <c r="F173" s="18" t="s">
        <v>101</v>
      </c>
      <c r="G173" s="18" t="s">
        <v>100</v>
      </c>
      <c r="H173" s="19">
        <v>2</v>
      </c>
      <c r="I173" s="19">
        <v>2</v>
      </c>
      <c r="J173" s="19">
        <v>0</v>
      </c>
    </row>
    <row r="174" spans="1:10" x14ac:dyDescent="0.25">
      <c r="A174" s="18">
        <v>1907</v>
      </c>
      <c r="B174" s="18" t="s">
        <v>53</v>
      </c>
      <c r="C174" s="18" t="s">
        <v>118</v>
      </c>
      <c r="D174" s="18" t="s">
        <v>106</v>
      </c>
      <c r="E174" s="18" t="s">
        <v>100</v>
      </c>
      <c r="F174" s="18" t="s">
        <v>101</v>
      </c>
      <c r="G174" s="18" t="s">
        <v>101</v>
      </c>
      <c r="H174" s="19">
        <v>36</v>
      </c>
      <c r="I174" s="19">
        <v>36</v>
      </c>
      <c r="J174" s="19">
        <v>0</v>
      </c>
    </row>
    <row r="175" spans="1:10" x14ac:dyDescent="0.25">
      <c r="A175" s="18">
        <v>1907</v>
      </c>
      <c r="B175" s="18" t="s">
        <v>56</v>
      </c>
      <c r="C175" s="18" t="s">
        <v>112</v>
      </c>
      <c r="D175" s="18" t="s">
        <v>105</v>
      </c>
      <c r="E175" s="18" t="s">
        <v>100</v>
      </c>
      <c r="F175" s="18" t="s">
        <v>100</v>
      </c>
      <c r="G175" s="18" t="s">
        <v>100</v>
      </c>
      <c r="H175" s="19">
        <v>82</v>
      </c>
      <c r="I175" s="19">
        <v>82</v>
      </c>
      <c r="J175" s="19">
        <v>0</v>
      </c>
    </row>
    <row r="176" spans="1:10" x14ac:dyDescent="0.25">
      <c r="A176" s="18">
        <v>1907</v>
      </c>
      <c r="B176" s="18" t="s">
        <v>56</v>
      </c>
      <c r="C176" s="18" t="s">
        <v>112</v>
      </c>
      <c r="D176" s="18" t="s">
        <v>108</v>
      </c>
      <c r="E176" s="18" t="s">
        <v>100</v>
      </c>
      <c r="F176" s="18" t="s">
        <v>100</v>
      </c>
      <c r="G176" s="18" t="s">
        <v>100</v>
      </c>
      <c r="H176" s="19">
        <v>1</v>
      </c>
      <c r="I176" s="19">
        <v>1</v>
      </c>
      <c r="J176" s="19">
        <v>0</v>
      </c>
    </row>
    <row r="177" spans="1:10" x14ac:dyDescent="0.25">
      <c r="A177" s="18">
        <v>1907</v>
      </c>
      <c r="B177" s="18" t="s">
        <v>56</v>
      </c>
      <c r="C177" s="18" t="s">
        <v>112</v>
      </c>
      <c r="D177" s="18" t="s">
        <v>106</v>
      </c>
      <c r="E177" s="18" t="s">
        <v>100</v>
      </c>
      <c r="F177" s="18" t="s">
        <v>100</v>
      </c>
      <c r="G177" s="18" t="s">
        <v>100</v>
      </c>
      <c r="H177" s="19">
        <v>24</v>
      </c>
      <c r="I177" s="19">
        <v>24</v>
      </c>
      <c r="J177" s="19">
        <v>0</v>
      </c>
    </row>
    <row r="178" spans="1:10" x14ac:dyDescent="0.25">
      <c r="A178" s="18">
        <v>1907</v>
      </c>
      <c r="B178" s="18" t="s">
        <v>56</v>
      </c>
      <c r="C178" s="18" t="s">
        <v>121</v>
      </c>
      <c r="D178" s="18" t="s">
        <v>105</v>
      </c>
      <c r="E178" s="18" t="s">
        <v>101</v>
      </c>
      <c r="F178" s="18" t="s">
        <v>100</v>
      </c>
      <c r="G178" s="18" t="s">
        <v>100</v>
      </c>
      <c r="H178" s="19">
        <v>164</v>
      </c>
      <c r="I178" s="19">
        <v>156</v>
      </c>
      <c r="J178" s="19">
        <v>0</v>
      </c>
    </row>
    <row r="179" spans="1:10" x14ac:dyDescent="0.25">
      <c r="A179" s="18">
        <v>1907</v>
      </c>
      <c r="B179" s="18" t="s">
        <v>56</v>
      </c>
      <c r="C179" s="18" t="s">
        <v>121</v>
      </c>
      <c r="D179" s="18" t="s">
        <v>108</v>
      </c>
      <c r="E179" s="18" t="s">
        <v>101</v>
      </c>
      <c r="F179" s="18" t="s">
        <v>100</v>
      </c>
      <c r="G179" s="18" t="s">
        <v>100</v>
      </c>
      <c r="H179" s="19">
        <v>2</v>
      </c>
      <c r="I179" s="19">
        <v>2</v>
      </c>
      <c r="J179" s="19">
        <v>0</v>
      </c>
    </row>
    <row r="180" spans="1:10" x14ac:dyDescent="0.25">
      <c r="A180" s="18">
        <v>1907</v>
      </c>
      <c r="B180" s="18" t="s">
        <v>56</v>
      </c>
      <c r="C180" s="18" t="s">
        <v>121</v>
      </c>
      <c r="D180" s="18" t="s">
        <v>106</v>
      </c>
      <c r="E180" s="18" t="s">
        <v>101</v>
      </c>
      <c r="F180" s="18" t="s">
        <v>100</v>
      </c>
      <c r="G180" s="18" t="s">
        <v>100</v>
      </c>
      <c r="H180" s="19">
        <v>48</v>
      </c>
      <c r="I180" s="19">
        <v>48</v>
      </c>
      <c r="J180" s="19">
        <v>0</v>
      </c>
    </row>
    <row r="181" spans="1:10" x14ac:dyDescent="0.25">
      <c r="A181" s="18">
        <v>1907</v>
      </c>
      <c r="B181" s="18" t="s">
        <v>59</v>
      </c>
      <c r="C181" s="18" t="s">
        <v>122</v>
      </c>
      <c r="D181" s="18" t="s">
        <v>108</v>
      </c>
      <c r="E181" s="18" t="s">
        <v>100</v>
      </c>
      <c r="F181" s="18" t="s">
        <v>100</v>
      </c>
      <c r="G181" s="18" t="s">
        <v>100</v>
      </c>
      <c r="H181" s="19">
        <v>1</v>
      </c>
      <c r="I181" s="19">
        <v>1</v>
      </c>
      <c r="J181" s="19">
        <v>0</v>
      </c>
    </row>
    <row r="182" spans="1:10" x14ac:dyDescent="0.25">
      <c r="A182" s="18">
        <v>1907</v>
      </c>
      <c r="B182" s="18" t="s">
        <v>59</v>
      </c>
      <c r="C182" s="18" t="s">
        <v>122</v>
      </c>
      <c r="D182" s="18" t="s">
        <v>108</v>
      </c>
      <c r="E182" s="18" t="s">
        <v>101</v>
      </c>
      <c r="F182" s="18" t="s">
        <v>100</v>
      </c>
      <c r="G182" s="18" t="s">
        <v>100</v>
      </c>
      <c r="H182" s="19">
        <v>2</v>
      </c>
      <c r="I182" s="19">
        <v>2</v>
      </c>
      <c r="J182" s="19">
        <v>0</v>
      </c>
    </row>
    <row r="183" spans="1:10" x14ac:dyDescent="0.25">
      <c r="A183" s="18">
        <v>1907</v>
      </c>
      <c r="B183" s="18" t="s">
        <v>59</v>
      </c>
      <c r="C183" s="18" t="s">
        <v>122</v>
      </c>
      <c r="D183" s="18" t="s">
        <v>106</v>
      </c>
      <c r="E183" s="18" t="s">
        <v>100</v>
      </c>
      <c r="F183" s="18" t="s">
        <v>100</v>
      </c>
      <c r="G183" s="18" t="s">
        <v>100</v>
      </c>
      <c r="H183" s="19">
        <v>17</v>
      </c>
      <c r="I183" s="19">
        <v>17</v>
      </c>
      <c r="J183" s="19">
        <v>0</v>
      </c>
    </row>
    <row r="184" spans="1:10" x14ac:dyDescent="0.25">
      <c r="A184" s="18">
        <v>1907</v>
      </c>
      <c r="B184" s="18" t="s">
        <v>59</v>
      </c>
      <c r="C184" s="18" t="s">
        <v>122</v>
      </c>
      <c r="D184" s="18" t="s">
        <v>106</v>
      </c>
      <c r="E184" s="18" t="s">
        <v>101</v>
      </c>
      <c r="F184" s="18" t="s">
        <v>100</v>
      </c>
      <c r="G184" s="18" t="s">
        <v>100</v>
      </c>
      <c r="H184" s="19">
        <v>34</v>
      </c>
      <c r="I184" s="19">
        <v>33</v>
      </c>
      <c r="J184" s="19">
        <v>0</v>
      </c>
    </row>
    <row r="185" spans="1:10" x14ac:dyDescent="0.25">
      <c r="A185" s="18">
        <v>1907</v>
      </c>
      <c r="B185" s="18" t="s">
        <v>59</v>
      </c>
      <c r="C185" s="18" t="s">
        <v>115</v>
      </c>
      <c r="D185" s="18" t="s">
        <v>108</v>
      </c>
      <c r="E185" s="18" t="s">
        <v>100</v>
      </c>
      <c r="F185" s="18" t="s">
        <v>100</v>
      </c>
      <c r="G185" s="18" t="s">
        <v>100</v>
      </c>
      <c r="H185" s="19">
        <v>1</v>
      </c>
      <c r="I185" s="19">
        <v>1</v>
      </c>
      <c r="J185" s="19">
        <v>0</v>
      </c>
    </row>
    <row r="186" spans="1:10" x14ac:dyDescent="0.25">
      <c r="A186" s="18">
        <v>1907</v>
      </c>
      <c r="B186" s="18" t="s">
        <v>59</v>
      </c>
      <c r="C186" s="18" t="s">
        <v>115</v>
      </c>
      <c r="D186" s="18" t="s">
        <v>108</v>
      </c>
      <c r="E186" s="18" t="s">
        <v>100</v>
      </c>
      <c r="F186" s="18" t="s">
        <v>101</v>
      </c>
      <c r="G186" s="18" t="s">
        <v>100</v>
      </c>
      <c r="H186" s="19">
        <v>2</v>
      </c>
      <c r="I186" s="19">
        <v>2</v>
      </c>
      <c r="J186" s="19">
        <v>0</v>
      </c>
    </row>
    <row r="187" spans="1:10" x14ac:dyDescent="0.25">
      <c r="A187" s="18">
        <v>1907</v>
      </c>
      <c r="B187" s="18" t="s">
        <v>59</v>
      </c>
      <c r="C187" s="18" t="s">
        <v>115</v>
      </c>
      <c r="D187" s="18" t="s">
        <v>108</v>
      </c>
      <c r="E187" s="18" t="s">
        <v>101</v>
      </c>
      <c r="F187" s="18" t="s">
        <v>100</v>
      </c>
      <c r="G187" s="18" t="s">
        <v>100</v>
      </c>
      <c r="H187" s="19">
        <v>2</v>
      </c>
      <c r="I187" s="19">
        <v>2</v>
      </c>
      <c r="J187" s="19">
        <v>0</v>
      </c>
    </row>
    <row r="188" spans="1:10" x14ac:dyDescent="0.25">
      <c r="A188" s="18">
        <v>1907</v>
      </c>
      <c r="B188" s="18" t="s">
        <v>59</v>
      </c>
      <c r="C188" s="18" t="s">
        <v>115</v>
      </c>
      <c r="D188" s="18" t="s">
        <v>108</v>
      </c>
      <c r="E188" s="18" t="s">
        <v>101</v>
      </c>
      <c r="F188" s="18" t="s">
        <v>101</v>
      </c>
      <c r="G188" s="18" t="s">
        <v>100</v>
      </c>
      <c r="H188" s="19">
        <v>4</v>
      </c>
      <c r="I188" s="19">
        <v>4</v>
      </c>
      <c r="J188" s="19">
        <v>0</v>
      </c>
    </row>
    <row r="189" spans="1:10" x14ac:dyDescent="0.25">
      <c r="A189" s="18">
        <v>1907</v>
      </c>
      <c r="B189" s="18" t="s">
        <v>65</v>
      </c>
      <c r="C189" s="18" t="s">
        <v>113</v>
      </c>
      <c r="D189" s="18" t="s">
        <v>108</v>
      </c>
      <c r="E189" s="18" t="s">
        <v>100</v>
      </c>
      <c r="F189" s="18" t="s">
        <v>100</v>
      </c>
      <c r="G189" s="18" t="s">
        <v>100</v>
      </c>
      <c r="H189" s="19">
        <v>1</v>
      </c>
      <c r="I189" s="19">
        <v>1</v>
      </c>
      <c r="J189" s="19">
        <v>0</v>
      </c>
    </row>
    <row r="190" spans="1:10" x14ac:dyDescent="0.25">
      <c r="A190" s="18">
        <v>1907</v>
      </c>
      <c r="B190" s="18" t="s">
        <v>65</v>
      </c>
      <c r="C190" s="18" t="s">
        <v>113</v>
      </c>
      <c r="D190" s="18" t="s">
        <v>108</v>
      </c>
      <c r="E190" s="18" t="s">
        <v>100</v>
      </c>
      <c r="F190" s="18" t="s">
        <v>101</v>
      </c>
      <c r="G190" s="18" t="s">
        <v>100</v>
      </c>
      <c r="H190" s="19">
        <v>2</v>
      </c>
      <c r="I190" s="19">
        <v>2</v>
      </c>
      <c r="J190" s="19">
        <v>0</v>
      </c>
    </row>
    <row r="191" spans="1:10" x14ac:dyDescent="0.25">
      <c r="A191" s="18">
        <v>1907</v>
      </c>
      <c r="B191" s="18" t="s">
        <v>65</v>
      </c>
      <c r="C191" s="18" t="s">
        <v>113</v>
      </c>
      <c r="D191" s="18" t="s">
        <v>106</v>
      </c>
      <c r="E191" s="18" t="s">
        <v>100</v>
      </c>
      <c r="F191" s="18" t="s">
        <v>100</v>
      </c>
      <c r="G191" s="18" t="s">
        <v>100</v>
      </c>
      <c r="H191" s="19">
        <v>26</v>
      </c>
      <c r="I191" s="19">
        <v>23</v>
      </c>
      <c r="J191" s="19">
        <v>0</v>
      </c>
    </row>
    <row r="192" spans="1:10" x14ac:dyDescent="0.25">
      <c r="A192" s="18">
        <v>1907</v>
      </c>
      <c r="B192" s="18" t="s">
        <v>65</v>
      </c>
      <c r="C192" s="18" t="s">
        <v>113</v>
      </c>
      <c r="D192" s="18" t="s">
        <v>106</v>
      </c>
      <c r="E192" s="18" t="s">
        <v>100</v>
      </c>
      <c r="F192" s="18" t="s">
        <v>101</v>
      </c>
      <c r="G192" s="18" t="s">
        <v>100</v>
      </c>
      <c r="H192" s="19">
        <v>52</v>
      </c>
      <c r="I192" s="19">
        <v>46</v>
      </c>
      <c r="J192" s="19">
        <v>0</v>
      </c>
    </row>
    <row r="193" spans="1:10" x14ac:dyDescent="0.25">
      <c r="A193" s="18">
        <v>1907</v>
      </c>
      <c r="B193" s="18" t="s">
        <v>65</v>
      </c>
      <c r="C193" s="18" t="s">
        <v>118</v>
      </c>
      <c r="D193" s="18" t="s">
        <v>108</v>
      </c>
      <c r="E193" s="18" t="s">
        <v>100</v>
      </c>
      <c r="F193" s="18" t="s">
        <v>100</v>
      </c>
      <c r="G193" s="18" t="s">
        <v>100</v>
      </c>
      <c r="H193" s="19">
        <v>2</v>
      </c>
      <c r="I193" s="19">
        <v>1</v>
      </c>
      <c r="J193" s="19">
        <v>0</v>
      </c>
    </row>
    <row r="194" spans="1:10" x14ac:dyDescent="0.25">
      <c r="A194" s="18">
        <v>1907</v>
      </c>
      <c r="B194" s="18" t="s">
        <v>65</v>
      </c>
      <c r="C194" s="18" t="s">
        <v>118</v>
      </c>
      <c r="D194" s="18" t="s">
        <v>108</v>
      </c>
      <c r="E194" s="18" t="s">
        <v>100</v>
      </c>
      <c r="F194" s="18" t="s">
        <v>100</v>
      </c>
      <c r="G194" s="18" t="s">
        <v>101</v>
      </c>
      <c r="H194" s="19">
        <v>11</v>
      </c>
      <c r="I194" s="19">
        <v>11</v>
      </c>
      <c r="J194" s="19">
        <v>0</v>
      </c>
    </row>
    <row r="195" spans="1:10" x14ac:dyDescent="0.25">
      <c r="A195" s="18">
        <v>1907</v>
      </c>
      <c r="B195" s="18" t="s">
        <v>65</v>
      </c>
      <c r="C195" s="18" t="s">
        <v>115</v>
      </c>
      <c r="D195" s="18" t="s">
        <v>108</v>
      </c>
      <c r="E195" s="18" t="s">
        <v>100</v>
      </c>
      <c r="F195" s="18" t="s">
        <v>100</v>
      </c>
      <c r="G195" s="18" t="s">
        <v>100</v>
      </c>
      <c r="H195" s="19">
        <v>1</v>
      </c>
      <c r="I195" s="19">
        <v>1</v>
      </c>
      <c r="J195" s="19">
        <v>0</v>
      </c>
    </row>
    <row r="196" spans="1:10" x14ac:dyDescent="0.25">
      <c r="A196" s="18">
        <v>1907</v>
      </c>
      <c r="B196" s="18" t="s">
        <v>65</v>
      </c>
      <c r="C196" s="18" t="s">
        <v>115</v>
      </c>
      <c r="D196" s="18" t="s">
        <v>108</v>
      </c>
      <c r="E196" s="18" t="s">
        <v>101</v>
      </c>
      <c r="F196" s="18" t="s">
        <v>100</v>
      </c>
      <c r="G196" s="18" t="s">
        <v>100</v>
      </c>
      <c r="H196" s="19">
        <v>2</v>
      </c>
      <c r="I196" s="19">
        <v>2</v>
      </c>
      <c r="J196" s="19">
        <v>0</v>
      </c>
    </row>
    <row r="197" spans="1:10" x14ac:dyDescent="0.25">
      <c r="A197" s="18">
        <v>1907</v>
      </c>
      <c r="B197" s="18" t="s">
        <v>65</v>
      </c>
      <c r="C197" s="18" t="s">
        <v>115</v>
      </c>
      <c r="D197" s="18" t="s">
        <v>106</v>
      </c>
      <c r="E197" s="18" t="s">
        <v>100</v>
      </c>
      <c r="F197" s="18" t="s">
        <v>100</v>
      </c>
      <c r="G197" s="18" t="s">
        <v>100</v>
      </c>
      <c r="H197" s="19">
        <v>26</v>
      </c>
      <c r="I197" s="19">
        <v>23</v>
      </c>
      <c r="J197" s="19">
        <v>0</v>
      </c>
    </row>
    <row r="198" spans="1:10" x14ac:dyDescent="0.25">
      <c r="A198" s="18">
        <v>1907</v>
      </c>
      <c r="B198" s="18" t="s">
        <v>65</v>
      </c>
      <c r="C198" s="18" t="s">
        <v>115</v>
      </c>
      <c r="D198" s="18" t="s">
        <v>106</v>
      </c>
      <c r="E198" s="18" t="s">
        <v>101</v>
      </c>
      <c r="F198" s="18" t="s">
        <v>100</v>
      </c>
      <c r="G198" s="18" t="s">
        <v>100</v>
      </c>
      <c r="H198" s="19">
        <v>52</v>
      </c>
      <c r="I198" s="19">
        <v>46</v>
      </c>
      <c r="J198" s="19">
        <v>0</v>
      </c>
    </row>
    <row r="199" spans="1:10" x14ac:dyDescent="0.25">
      <c r="A199" s="18">
        <v>1920</v>
      </c>
      <c r="B199" s="18" t="s">
        <v>56</v>
      </c>
      <c r="C199" s="18" t="s">
        <v>112</v>
      </c>
      <c r="D199" s="18" t="s">
        <v>105</v>
      </c>
      <c r="E199" s="18" t="s">
        <v>100</v>
      </c>
      <c r="F199" s="18" t="s">
        <v>100</v>
      </c>
      <c r="G199" s="18" t="s">
        <v>100</v>
      </c>
      <c r="H199" s="19">
        <v>82</v>
      </c>
      <c r="I199" s="19">
        <v>82</v>
      </c>
      <c r="J199" s="19">
        <v>0</v>
      </c>
    </row>
    <row r="200" spans="1:10" x14ac:dyDescent="0.25">
      <c r="A200" s="18">
        <v>1920</v>
      </c>
      <c r="B200" s="18" t="s">
        <v>56</v>
      </c>
      <c r="C200" s="18" t="s">
        <v>112</v>
      </c>
      <c r="D200" s="18" t="s">
        <v>108</v>
      </c>
      <c r="E200" s="18" t="s">
        <v>100</v>
      </c>
      <c r="F200" s="18" t="s">
        <v>100</v>
      </c>
      <c r="G200" s="18" t="s">
        <v>100</v>
      </c>
      <c r="H200" s="19">
        <v>1</v>
      </c>
      <c r="I200" s="19">
        <v>1</v>
      </c>
      <c r="J200" s="19">
        <v>0</v>
      </c>
    </row>
    <row r="201" spans="1:10" x14ac:dyDescent="0.25">
      <c r="A201" s="18">
        <v>1920</v>
      </c>
      <c r="B201" s="18" t="s">
        <v>56</v>
      </c>
      <c r="C201" s="18" t="s">
        <v>112</v>
      </c>
      <c r="D201" s="18" t="s">
        <v>106</v>
      </c>
      <c r="E201" s="18" t="s">
        <v>100</v>
      </c>
      <c r="F201" s="18" t="s">
        <v>100</v>
      </c>
      <c r="G201" s="18" t="s">
        <v>100</v>
      </c>
      <c r="H201" s="19">
        <v>24</v>
      </c>
      <c r="I201" s="19">
        <v>24</v>
      </c>
      <c r="J201" s="19">
        <v>0</v>
      </c>
    </row>
    <row r="202" spans="1:10" x14ac:dyDescent="0.25">
      <c r="A202" s="18">
        <v>1920</v>
      </c>
      <c r="B202" s="18" t="s">
        <v>56</v>
      </c>
      <c r="C202" s="18" t="s">
        <v>121</v>
      </c>
      <c r="D202" s="18" t="s">
        <v>105</v>
      </c>
      <c r="E202" s="18" t="s">
        <v>101</v>
      </c>
      <c r="F202" s="18" t="s">
        <v>100</v>
      </c>
      <c r="G202" s="18" t="s">
        <v>100</v>
      </c>
      <c r="H202" s="19">
        <v>164</v>
      </c>
      <c r="I202" s="19">
        <v>161</v>
      </c>
      <c r="J202" s="19">
        <v>4</v>
      </c>
    </row>
    <row r="203" spans="1:10" x14ac:dyDescent="0.25">
      <c r="A203" s="18">
        <v>1920</v>
      </c>
      <c r="B203" s="18" t="s">
        <v>56</v>
      </c>
      <c r="C203" s="18" t="s">
        <v>121</v>
      </c>
      <c r="D203" s="18" t="s">
        <v>108</v>
      </c>
      <c r="E203" s="18" t="s">
        <v>101</v>
      </c>
      <c r="F203" s="18" t="s">
        <v>100</v>
      </c>
      <c r="G203" s="18" t="s">
        <v>100</v>
      </c>
      <c r="H203" s="19">
        <v>2</v>
      </c>
      <c r="I203" s="19">
        <v>2</v>
      </c>
      <c r="J203" s="19">
        <v>2</v>
      </c>
    </row>
    <row r="204" spans="1:10" x14ac:dyDescent="0.25">
      <c r="A204" s="18">
        <v>1920</v>
      </c>
      <c r="B204" s="18" t="s">
        <v>56</v>
      </c>
      <c r="C204" s="18" t="s">
        <v>121</v>
      </c>
      <c r="D204" s="18" t="s">
        <v>106</v>
      </c>
      <c r="E204" s="18" t="s">
        <v>101</v>
      </c>
      <c r="F204" s="18" t="s">
        <v>100</v>
      </c>
      <c r="G204" s="18" t="s">
        <v>100</v>
      </c>
      <c r="H204" s="19">
        <v>48</v>
      </c>
      <c r="I204" s="19">
        <v>48</v>
      </c>
      <c r="J204" s="19">
        <v>2</v>
      </c>
    </row>
    <row r="205" spans="1:10" x14ac:dyDescent="0.25">
      <c r="A205" s="18">
        <v>1920</v>
      </c>
      <c r="B205" s="18" t="s">
        <v>56</v>
      </c>
      <c r="C205" s="18" t="s">
        <v>123</v>
      </c>
      <c r="D205" s="18" t="s">
        <v>105</v>
      </c>
      <c r="E205" s="18" t="s">
        <v>100</v>
      </c>
      <c r="F205" s="18" t="s">
        <v>100</v>
      </c>
      <c r="G205" s="18" t="s">
        <v>100</v>
      </c>
      <c r="H205" s="19">
        <v>82</v>
      </c>
      <c r="I205" s="19">
        <v>82</v>
      </c>
      <c r="J205" s="19">
        <v>0</v>
      </c>
    </row>
    <row r="206" spans="1:10" x14ac:dyDescent="0.25">
      <c r="A206" s="18">
        <v>1920</v>
      </c>
      <c r="B206" s="18" t="s">
        <v>56</v>
      </c>
      <c r="C206" s="18" t="s">
        <v>123</v>
      </c>
      <c r="D206" s="18" t="s">
        <v>105</v>
      </c>
      <c r="E206" s="18" t="s">
        <v>100</v>
      </c>
      <c r="F206" s="18" t="s">
        <v>101</v>
      </c>
      <c r="G206" s="18" t="s">
        <v>100</v>
      </c>
      <c r="H206" s="19">
        <v>164</v>
      </c>
      <c r="I206" s="19">
        <v>164</v>
      </c>
      <c r="J206" s="19">
        <v>0</v>
      </c>
    </row>
    <row r="207" spans="1:10" x14ac:dyDescent="0.25">
      <c r="A207" s="18">
        <v>1920</v>
      </c>
      <c r="B207" s="18" t="s">
        <v>56</v>
      </c>
      <c r="C207" s="18" t="s">
        <v>123</v>
      </c>
      <c r="D207" s="18" t="s">
        <v>105</v>
      </c>
      <c r="E207" s="18" t="s">
        <v>101</v>
      </c>
      <c r="F207" s="18" t="s">
        <v>100</v>
      </c>
      <c r="G207" s="18" t="s">
        <v>100</v>
      </c>
      <c r="H207" s="19">
        <v>164</v>
      </c>
      <c r="I207" s="19">
        <v>161</v>
      </c>
      <c r="J207" s="19">
        <v>0</v>
      </c>
    </row>
    <row r="208" spans="1:10" x14ac:dyDescent="0.25">
      <c r="A208" s="18">
        <v>1920</v>
      </c>
      <c r="B208" s="18" t="s">
        <v>56</v>
      </c>
      <c r="C208" s="18" t="s">
        <v>123</v>
      </c>
      <c r="D208" s="18" t="s">
        <v>105</v>
      </c>
      <c r="E208" s="18" t="s">
        <v>101</v>
      </c>
      <c r="F208" s="18" t="s">
        <v>101</v>
      </c>
      <c r="G208" s="18" t="s">
        <v>100</v>
      </c>
      <c r="H208" s="19">
        <v>328</v>
      </c>
      <c r="I208" s="19">
        <v>322</v>
      </c>
      <c r="J208" s="19">
        <v>0</v>
      </c>
    </row>
    <row r="209" spans="1:10" x14ac:dyDescent="0.25">
      <c r="A209" s="18">
        <v>1920</v>
      </c>
      <c r="B209" s="18" t="s">
        <v>56</v>
      </c>
      <c r="C209" s="18" t="s">
        <v>123</v>
      </c>
      <c r="D209" s="18" t="s">
        <v>108</v>
      </c>
      <c r="E209" s="18" t="s">
        <v>100</v>
      </c>
      <c r="F209" s="18" t="s">
        <v>100</v>
      </c>
      <c r="G209" s="18" t="s">
        <v>100</v>
      </c>
      <c r="H209" s="19">
        <v>1</v>
      </c>
      <c r="I209" s="19">
        <v>1</v>
      </c>
      <c r="J209" s="19">
        <v>0</v>
      </c>
    </row>
    <row r="210" spans="1:10" x14ac:dyDescent="0.25">
      <c r="A210" s="18">
        <v>1920</v>
      </c>
      <c r="B210" s="18" t="s">
        <v>56</v>
      </c>
      <c r="C210" s="18" t="s">
        <v>123</v>
      </c>
      <c r="D210" s="18" t="s">
        <v>108</v>
      </c>
      <c r="E210" s="18" t="s">
        <v>100</v>
      </c>
      <c r="F210" s="18" t="s">
        <v>101</v>
      </c>
      <c r="G210" s="18" t="s">
        <v>100</v>
      </c>
      <c r="H210" s="19">
        <v>2</v>
      </c>
      <c r="I210" s="19">
        <v>2</v>
      </c>
      <c r="J210" s="19">
        <v>0</v>
      </c>
    </row>
    <row r="211" spans="1:10" x14ac:dyDescent="0.25">
      <c r="A211" s="18">
        <v>1920</v>
      </c>
      <c r="B211" s="18" t="s">
        <v>56</v>
      </c>
      <c r="C211" s="18" t="s">
        <v>123</v>
      </c>
      <c r="D211" s="18" t="s">
        <v>108</v>
      </c>
      <c r="E211" s="18" t="s">
        <v>101</v>
      </c>
      <c r="F211" s="18" t="s">
        <v>100</v>
      </c>
      <c r="G211" s="18" t="s">
        <v>100</v>
      </c>
      <c r="H211" s="19">
        <v>2</v>
      </c>
      <c r="I211" s="19">
        <v>2</v>
      </c>
      <c r="J211" s="19">
        <v>0</v>
      </c>
    </row>
    <row r="212" spans="1:10" x14ac:dyDescent="0.25">
      <c r="A212" s="18">
        <v>1920</v>
      </c>
      <c r="B212" s="18" t="s">
        <v>56</v>
      </c>
      <c r="C212" s="18" t="s">
        <v>123</v>
      </c>
      <c r="D212" s="18" t="s">
        <v>108</v>
      </c>
      <c r="E212" s="18" t="s">
        <v>101</v>
      </c>
      <c r="F212" s="18" t="s">
        <v>101</v>
      </c>
      <c r="G212" s="18" t="s">
        <v>100</v>
      </c>
      <c r="H212" s="19">
        <v>4</v>
      </c>
      <c r="I212" s="19">
        <v>4</v>
      </c>
      <c r="J212" s="19">
        <v>0</v>
      </c>
    </row>
    <row r="213" spans="1:10" x14ac:dyDescent="0.25">
      <c r="A213" s="18">
        <v>1920</v>
      </c>
      <c r="B213" s="18" t="s">
        <v>56</v>
      </c>
      <c r="C213" s="18" t="s">
        <v>123</v>
      </c>
      <c r="D213" s="18" t="s">
        <v>106</v>
      </c>
      <c r="E213" s="18" t="s">
        <v>100</v>
      </c>
      <c r="F213" s="18" t="s">
        <v>100</v>
      </c>
      <c r="G213" s="18" t="s">
        <v>100</v>
      </c>
      <c r="H213" s="19">
        <v>24</v>
      </c>
      <c r="I213" s="19">
        <v>24</v>
      </c>
      <c r="J213" s="19">
        <v>0</v>
      </c>
    </row>
    <row r="214" spans="1:10" x14ac:dyDescent="0.25">
      <c r="A214" s="18">
        <v>1920</v>
      </c>
      <c r="B214" s="18" t="s">
        <v>56</v>
      </c>
      <c r="C214" s="18" t="s">
        <v>123</v>
      </c>
      <c r="D214" s="18" t="s">
        <v>106</v>
      </c>
      <c r="E214" s="18" t="s">
        <v>100</v>
      </c>
      <c r="F214" s="18" t="s">
        <v>101</v>
      </c>
      <c r="G214" s="18" t="s">
        <v>100</v>
      </c>
      <c r="H214" s="19">
        <v>48</v>
      </c>
      <c r="I214" s="19">
        <v>48</v>
      </c>
      <c r="J214" s="19">
        <v>0</v>
      </c>
    </row>
    <row r="215" spans="1:10" x14ac:dyDescent="0.25">
      <c r="A215" s="18">
        <v>1920</v>
      </c>
      <c r="B215" s="18" t="s">
        <v>56</v>
      </c>
      <c r="C215" s="18" t="s">
        <v>123</v>
      </c>
      <c r="D215" s="18" t="s">
        <v>106</v>
      </c>
      <c r="E215" s="18" t="s">
        <v>101</v>
      </c>
      <c r="F215" s="18" t="s">
        <v>100</v>
      </c>
      <c r="G215" s="18" t="s">
        <v>100</v>
      </c>
      <c r="H215" s="19">
        <v>48</v>
      </c>
      <c r="I215" s="19">
        <v>48</v>
      </c>
      <c r="J215" s="19">
        <v>0</v>
      </c>
    </row>
    <row r="216" spans="1:10" x14ac:dyDescent="0.25">
      <c r="A216" s="18">
        <v>1920</v>
      </c>
      <c r="B216" s="18" t="s">
        <v>56</v>
      </c>
      <c r="C216" s="18" t="s">
        <v>123</v>
      </c>
      <c r="D216" s="18" t="s">
        <v>106</v>
      </c>
      <c r="E216" s="18" t="s">
        <v>101</v>
      </c>
      <c r="F216" s="18" t="s">
        <v>101</v>
      </c>
      <c r="G216" s="18" t="s">
        <v>100</v>
      </c>
      <c r="H216" s="19">
        <v>96</v>
      </c>
      <c r="I216" s="19">
        <v>96</v>
      </c>
      <c r="J216" s="19">
        <v>0</v>
      </c>
    </row>
    <row r="217" spans="1:10" x14ac:dyDescent="0.25">
      <c r="A217" s="18">
        <v>1920</v>
      </c>
      <c r="B217" s="18" t="s">
        <v>56</v>
      </c>
      <c r="C217" s="18" t="s">
        <v>124</v>
      </c>
      <c r="D217" s="18" t="s">
        <v>105</v>
      </c>
      <c r="E217" s="18" t="s">
        <v>100</v>
      </c>
      <c r="F217" s="18" t="s">
        <v>100</v>
      </c>
      <c r="G217" s="18" t="s">
        <v>100</v>
      </c>
      <c r="H217" s="19">
        <v>82</v>
      </c>
      <c r="I217" s="19">
        <v>82</v>
      </c>
      <c r="J217" s="19">
        <v>1</v>
      </c>
    </row>
    <row r="218" spans="1:10" x14ac:dyDescent="0.25">
      <c r="A218" s="18">
        <v>1920</v>
      </c>
      <c r="B218" s="18" t="s">
        <v>56</v>
      </c>
      <c r="C218" s="18" t="s">
        <v>124</v>
      </c>
      <c r="D218" s="18" t="s">
        <v>105</v>
      </c>
      <c r="E218" s="18" t="s">
        <v>100</v>
      </c>
      <c r="F218" s="18" t="s">
        <v>100</v>
      </c>
      <c r="G218" s="18" t="s">
        <v>101</v>
      </c>
      <c r="H218" s="19">
        <v>2296</v>
      </c>
      <c r="I218" s="19">
        <v>2291</v>
      </c>
      <c r="J218" s="19">
        <v>2</v>
      </c>
    </row>
    <row r="219" spans="1:10" x14ac:dyDescent="0.25">
      <c r="A219" s="18">
        <v>1920</v>
      </c>
      <c r="B219" s="18" t="s">
        <v>56</v>
      </c>
      <c r="C219" s="18" t="s">
        <v>124</v>
      </c>
      <c r="D219" s="18" t="s">
        <v>105</v>
      </c>
      <c r="E219" s="18" t="s">
        <v>100</v>
      </c>
      <c r="F219" s="18" t="s">
        <v>101</v>
      </c>
      <c r="G219" s="18" t="s">
        <v>100</v>
      </c>
      <c r="H219" s="19">
        <v>164</v>
      </c>
      <c r="I219" s="19">
        <v>164</v>
      </c>
      <c r="J219" s="19">
        <v>2</v>
      </c>
    </row>
    <row r="220" spans="1:10" x14ac:dyDescent="0.25">
      <c r="A220" s="18">
        <v>1920</v>
      </c>
      <c r="B220" s="18" t="s">
        <v>56</v>
      </c>
      <c r="C220" s="18" t="s">
        <v>124</v>
      </c>
      <c r="D220" s="18" t="s">
        <v>105</v>
      </c>
      <c r="E220" s="18" t="s">
        <v>100</v>
      </c>
      <c r="F220" s="18" t="s">
        <v>101</v>
      </c>
      <c r="G220" s="18" t="s">
        <v>101</v>
      </c>
      <c r="H220" s="19">
        <v>4592</v>
      </c>
      <c r="I220" s="19">
        <v>4564</v>
      </c>
      <c r="J220" s="19">
        <v>4</v>
      </c>
    </row>
    <row r="221" spans="1:10" x14ac:dyDescent="0.25">
      <c r="A221" s="18">
        <v>1920</v>
      </c>
      <c r="B221" s="18" t="s">
        <v>56</v>
      </c>
      <c r="C221" s="18" t="s">
        <v>124</v>
      </c>
      <c r="D221" s="18" t="s">
        <v>106</v>
      </c>
      <c r="E221" s="18" t="s">
        <v>100</v>
      </c>
      <c r="F221" s="18" t="s">
        <v>100</v>
      </c>
      <c r="G221" s="18" t="s">
        <v>100</v>
      </c>
      <c r="H221" s="19">
        <v>1</v>
      </c>
      <c r="I221" s="19">
        <v>1</v>
      </c>
      <c r="J221" s="19">
        <v>0</v>
      </c>
    </row>
    <row r="222" spans="1:10" x14ac:dyDescent="0.25">
      <c r="A222" s="18">
        <v>1920</v>
      </c>
      <c r="B222" s="18" t="s">
        <v>56</v>
      </c>
      <c r="C222" s="18" t="s">
        <v>124</v>
      </c>
      <c r="D222" s="18" t="s">
        <v>106</v>
      </c>
      <c r="E222" s="18" t="s">
        <v>100</v>
      </c>
      <c r="F222" s="18" t="s">
        <v>100</v>
      </c>
      <c r="G222" s="18" t="s">
        <v>101</v>
      </c>
      <c r="H222" s="19">
        <v>28</v>
      </c>
      <c r="I222" s="19">
        <v>28</v>
      </c>
      <c r="J222" s="19">
        <v>0</v>
      </c>
    </row>
    <row r="223" spans="1:10" x14ac:dyDescent="0.25">
      <c r="A223" s="18">
        <v>1920</v>
      </c>
      <c r="B223" s="18" t="s">
        <v>56</v>
      </c>
      <c r="C223" s="18" t="s">
        <v>124</v>
      </c>
      <c r="D223" s="18" t="s">
        <v>106</v>
      </c>
      <c r="E223" s="18" t="s">
        <v>100</v>
      </c>
      <c r="F223" s="18" t="s">
        <v>101</v>
      </c>
      <c r="G223" s="18" t="s">
        <v>100</v>
      </c>
      <c r="H223" s="19">
        <v>2</v>
      </c>
      <c r="I223" s="19">
        <v>2</v>
      </c>
      <c r="J223" s="19">
        <v>0</v>
      </c>
    </row>
    <row r="224" spans="1:10" x14ac:dyDescent="0.25">
      <c r="A224" s="18">
        <v>1920</v>
      </c>
      <c r="B224" s="18" t="s">
        <v>56</v>
      </c>
      <c r="C224" s="18" t="s">
        <v>124</v>
      </c>
      <c r="D224" s="18" t="s">
        <v>106</v>
      </c>
      <c r="E224" s="18" t="s">
        <v>100</v>
      </c>
      <c r="F224" s="18" t="s">
        <v>101</v>
      </c>
      <c r="G224" s="18" t="s">
        <v>101</v>
      </c>
      <c r="H224" s="19">
        <v>56</v>
      </c>
      <c r="I224" s="19">
        <v>56</v>
      </c>
      <c r="J224" s="19">
        <v>0</v>
      </c>
    </row>
    <row r="225" spans="1:10" x14ac:dyDescent="0.25">
      <c r="A225" s="18">
        <v>1920</v>
      </c>
      <c r="B225" s="18" t="s">
        <v>59</v>
      </c>
      <c r="C225" s="18" t="s">
        <v>122</v>
      </c>
      <c r="D225" s="18" t="s">
        <v>108</v>
      </c>
      <c r="E225" s="18" t="s">
        <v>100</v>
      </c>
      <c r="F225" s="18" t="s">
        <v>100</v>
      </c>
      <c r="G225" s="18" t="s">
        <v>100</v>
      </c>
      <c r="H225" s="19">
        <v>1</v>
      </c>
      <c r="I225" s="19">
        <v>1</v>
      </c>
      <c r="J225" s="19">
        <v>0</v>
      </c>
    </row>
    <row r="226" spans="1:10" x14ac:dyDescent="0.25">
      <c r="A226" s="18">
        <v>1920</v>
      </c>
      <c r="B226" s="18" t="s">
        <v>59</v>
      </c>
      <c r="C226" s="18" t="s">
        <v>122</v>
      </c>
      <c r="D226" s="18" t="s">
        <v>108</v>
      </c>
      <c r="E226" s="18" t="s">
        <v>101</v>
      </c>
      <c r="F226" s="18" t="s">
        <v>100</v>
      </c>
      <c r="G226" s="18" t="s">
        <v>100</v>
      </c>
      <c r="H226" s="19">
        <v>2</v>
      </c>
      <c r="I226" s="19">
        <v>2</v>
      </c>
      <c r="J226" s="19">
        <v>0</v>
      </c>
    </row>
    <row r="227" spans="1:10" x14ac:dyDescent="0.25">
      <c r="A227" s="18">
        <v>1920</v>
      </c>
      <c r="B227" s="18" t="s">
        <v>59</v>
      </c>
      <c r="C227" s="18" t="s">
        <v>122</v>
      </c>
      <c r="D227" s="18" t="s">
        <v>106</v>
      </c>
      <c r="E227" s="18" t="s">
        <v>100</v>
      </c>
      <c r="F227" s="18" t="s">
        <v>100</v>
      </c>
      <c r="G227" s="18" t="s">
        <v>100</v>
      </c>
      <c r="H227" s="19">
        <v>17</v>
      </c>
      <c r="I227" s="19">
        <v>17</v>
      </c>
      <c r="J227" s="19">
        <v>0</v>
      </c>
    </row>
    <row r="228" spans="1:10" x14ac:dyDescent="0.25">
      <c r="A228" s="18">
        <v>1920</v>
      </c>
      <c r="B228" s="18" t="s">
        <v>59</v>
      </c>
      <c r="C228" s="18" t="s">
        <v>122</v>
      </c>
      <c r="D228" s="18" t="s">
        <v>106</v>
      </c>
      <c r="E228" s="18" t="s">
        <v>101</v>
      </c>
      <c r="F228" s="18" t="s">
        <v>100</v>
      </c>
      <c r="G228" s="18" t="s">
        <v>100</v>
      </c>
      <c r="H228" s="19">
        <v>34</v>
      </c>
      <c r="I228" s="19">
        <v>33</v>
      </c>
      <c r="J228" s="19">
        <v>0</v>
      </c>
    </row>
    <row r="229" spans="1:10" x14ac:dyDescent="0.25">
      <c r="A229" s="18">
        <v>1920</v>
      </c>
      <c r="B229" s="18" t="s">
        <v>59</v>
      </c>
      <c r="C229" s="18" t="s">
        <v>115</v>
      </c>
      <c r="D229" s="18" t="s">
        <v>108</v>
      </c>
      <c r="E229" s="18" t="s">
        <v>100</v>
      </c>
      <c r="F229" s="18" t="s">
        <v>100</v>
      </c>
      <c r="G229" s="18" t="s">
        <v>100</v>
      </c>
      <c r="H229" s="19">
        <v>1</v>
      </c>
      <c r="I229" s="19">
        <v>1</v>
      </c>
      <c r="J229" s="19">
        <v>0</v>
      </c>
    </row>
    <row r="230" spans="1:10" x14ac:dyDescent="0.25">
      <c r="A230" s="18">
        <v>1920</v>
      </c>
      <c r="B230" s="18" t="s">
        <v>59</v>
      </c>
      <c r="C230" s="18" t="s">
        <v>115</v>
      </c>
      <c r="D230" s="18" t="s">
        <v>108</v>
      </c>
      <c r="E230" s="18" t="s">
        <v>100</v>
      </c>
      <c r="F230" s="18" t="s">
        <v>101</v>
      </c>
      <c r="G230" s="18" t="s">
        <v>100</v>
      </c>
      <c r="H230" s="19">
        <v>2</v>
      </c>
      <c r="I230" s="19">
        <v>2</v>
      </c>
      <c r="J230" s="19">
        <v>0</v>
      </c>
    </row>
    <row r="231" spans="1:10" x14ac:dyDescent="0.25">
      <c r="A231" s="18">
        <v>1920</v>
      </c>
      <c r="B231" s="18" t="s">
        <v>59</v>
      </c>
      <c r="C231" s="18" t="s">
        <v>115</v>
      </c>
      <c r="D231" s="18" t="s">
        <v>108</v>
      </c>
      <c r="E231" s="18" t="s">
        <v>101</v>
      </c>
      <c r="F231" s="18" t="s">
        <v>100</v>
      </c>
      <c r="G231" s="18" t="s">
        <v>100</v>
      </c>
      <c r="H231" s="19">
        <v>2</v>
      </c>
      <c r="I231" s="19">
        <v>2</v>
      </c>
      <c r="J231" s="19">
        <v>0</v>
      </c>
    </row>
    <row r="232" spans="1:10" x14ac:dyDescent="0.25">
      <c r="A232" s="18">
        <v>1920</v>
      </c>
      <c r="B232" s="18" t="s">
        <v>59</v>
      </c>
      <c r="C232" s="18" t="s">
        <v>115</v>
      </c>
      <c r="D232" s="18" t="s">
        <v>108</v>
      </c>
      <c r="E232" s="18" t="s">
        <v>101</v>
      </c>
      <c r="F232" s="18" t="s">
        <v>101</v>
      </c>
      <c r="G232" s="18" t="s">
        <v>100</v>
      </c>
      <c r="H232" s="19">
        <v>4</v>
      </c>
      <c r="I232" s="19">
        <v>4</v>
      </c>
      <c r="J232" s="19">
        <v>0</v>
      </c>
    </row>
    <row r="233" spans="1:10" x14ac:dyDescent="0.25">
      <c r="A233" s="18">
        <v>1920</v>
      </c>
      <c r="B233" s="18" t="s">
        <v>65</v>
      </c>
      <c r="C233" s="18" t="s">
        <v>113</v>
      </c>
      <c r="D233" s="18" t="s">
        <v>108</v>
      </c>
      <c r="E233" s="18" t="s">
        <v>100</v>
      </c>
      <c r="F233" s="18" t="s">
        <v>100</v>
      </c>
      <c r="G233" s="18" t="s">
        <v>100</v>
      </c>
      <c r="H233" s="19">
        <v>1</v>
      </c>
      <c r="I233" s="19">
        <v>1</v>
      </c>
      <c r="J233" s="19">
        <v>0</v>
      </c>
    </row>
    <row r="234" spans="1:10" x14ac:dyDescent="0.25">
      <c r="A234" s="18">
        <v>1920</v>
      </c>
      <c r="B234" s="18" t="s">
        <v>65</v>
      </c>
      <c r="C234" s="18" t="s">
        <v>113</v>
      </c>
      <c r="D234" s="18" t="s">
        <v>108</v>
      </c>
      <c r="E234" s="18" t="s">
        <v>100</v>
      </c>
      <c r="F234" s="18" t="s">
        <v>101</v>
      </c>
      <c r="G234" s="18" t="s">
        <v>100</v>
      </c>
      <c r="H234" s="19">
        <v>2</v>
      </c>
      <c r="I234" s="19">
        <v>2</v>
      </c>
      <c r="J234" s="19">
        <v>0</v>
      </c>
    </row>
    <row r="235" spans="1:10" x14ac:dyDescent="0.25">
      <c r="A235" s="18">
        <v>1920</v>
      </c>
      <c r="B235" s="18" t="s">
        <v>65</v>
      </c>
      <c r="C235" s="18" t="s">
        <v>113</v>
      </c>
      <c r="D235" s="18" t="s">
        <v>106</v>
      </c>
      <c r="E235" s="18" t="s">
        <v>100</v>
      </c>
      <c r="F235" s="18" t="s">
        <v>100</v>
      </c>
      <c r="G235" s="18" t="s">
        <v>100</v>
      </c>
      <c r="H235" s="19">
        <v>26</v>
      </c>
      <c r="I235" s="19">
        <v>23</v>
      </c>
      <c r="J235" s="19">
        <v>0</v>
      </c>
    </row>
    <row r="236" spans="1:10" x14ac:dyDescent="0.25">
      <c r="A236" s="18">
        <v>1920</v>
      </c>
      <c r="B236" s="18" t="s">
        <v>65</v>
      </c>
      <c r="C236" s="18" t="s">
        <v>113</v>
      </c>
      <c r="D236" s="18" t="s">
        <v>106</v>
      </c>
      <c r="E236" s="18" t="s">
        <v>100</v>
      </c>
      <c r="F236" s="18" t="s">
        <v>101</v>
      </c>
      <c r="G236" s="18" t="s">
        <v>100</v>
      </c>
      <c r="H236" s="19">
        <v>52</v>
      </c>
      <c r="I236" s="19">
        <v>46</v>
      </c>
      <c r="J236" s="19">
        <v>0</v>
      </c>
    </row>
    <row r="237" spans="1:10" x14ac:dyDescent="0.25">
      <c r="A237" s="18">
        <v>1920</v>
      </c>
      <c r="B237" s="18" t="s">
        <v>65</v>
      </c>
      <c r="C237" s="18" t="s">
        <v>118</v>
      </c>
      <c r="D237" s="18" t="s">
        <v>108</v>
      </c>
      <c r="E237" s="18" t="s">
        <v>100</v>
      </c>
      <c r="F237" s="18" t="s">
        <v>100</v>
      </c>
      <c r="G237" s="18" t="s">
        <v>100</v>
      </c>
      <c r="H237" s="19">
        <v>2</v>
      </c>
      <c r="I237" s="19">
        <v>1</v>
      </c>
      <c r="J237" s="19">
        <v>0</v>
      </c>
    </row>
    <row r="238" spans="1:10" x14ac:dyDescent="0.25">
      <c r="A238" s="18">
        <v>1920</v>
      </c>
      <c r="B238" s="18" t="s">
        <v>65</v>
      </c>
      <c r="C238" s="18" t="s">
        <v>118</v>
      </c>
      <c r="D238" s="18" t="s">
        <v>108</v>
      </c>
      <c r="E238" s="18" t="s">
        <v>100</v>
      </c>
      <c r="F238" s="18" t="s">
        <v>100</v>
      </c>
      <c r="G238" s="18" t="s">
        <v>101</v>
      </c>
      <c r="H238" s="19">
        <v>11</v>
      </c>
      <c r="I238" s="19">
        <v>11</v>
      </c>
      <c r="J238" s="19">
        <v>0</v>
      </c>
    </row>
    <row r="239" spans="1:10" x14ac:dyDescent="0.25">
      <c r="A239" s="18">
        <v>1920</v>
      </c>
      <c r="B239" s="18" t="s">
        <v>65</v>
      </c>
      <c r="C239" s="18" t="s">
        <v>115</v>
      </c>
      <c r="D239" s="18" t="s">
        <v>108</v>
      </c>
      <c r="E239" s="18" t="s">
        <v>100</v>
      </c>
      <c r="F239" s="18" t="s">
        <v>100</v>
      </c>
      <c r="G239" s="18" t="s">
        <v>100</v>
      </c>
      <c r="H239" s="19">
        <v>1</v>
      </c>
      <c r="I239" s="19">
        <v>1</v>
      </c>
      <c r="J239" s="19">
        <v>0</v>
      </c>
    </row>
    <row r="240" spans="1:10" x14ac:dyDescent="0.25">
      <c r="A240" s="18">
        <v>1920</v>
      </c>
      <c r="B240" s="18" t="s">
        <v>65</v>
      </c>
      <c r="C240" s="18" t="s">
        <v>115</v>
      </c>
      <c r="D240" s="18" t="s">
        <v>108</v>
      </c>
      <c r="E240" s="18" t="s">
        <v>101</v>
      </c>
      <c r="F240" s="18" t="s">
        <v>100</v>
      </c>
      <c r="G240" s="18" t="s">
        <v>100</v>
      </c>
      <c r="H240" s="19">
        <v>2</v>
      </c>
      <c r="I240" s="19">
        <v>2</v>
      </c>
      <c r="J240" s="19">
        <v>0</v>
      </c>
    </row>
    <row r="241" spans="1:10" x14ac:dyDescent="0.25">
      <c r="A241" s="18">
        <v>1920</v>
      </c>
      <c r="B241" s="18" t="s">
        <v>65</v>
      </c>
      <c r="C241" s="18" t="s">
        <v>115</v>
      </c>
      <c r="D241" s="18" t="s">
        <v>106</v>
      </c>
      <c r="E241" s="18" t="s">
        <v>100</v>
      </c>
      <c r="F241" s="18" t="s">
        <v>100</v>
      </c>
      <c r="G241" s="18" t="s">
        <v>100</v>
      </c>
      <c r="H241" s="19">
        <v>26</v>
      </c>
      <c r="I241" s="19">
        <v>23</v>
      </c>
      <c r="J241" s="19">
        <v>0</v>
      </c>
    </row>
    <row r="242" spans="1:10" x14ac:dyDescent="0.25">
      <c r="A242" s="18">
        <v>1920</v>
      </c>
      <c r="B242" s="18" t="s">
        <v>65</v>
      </c>
      <c r="C242" s="18" t="s">
        <v>115</v>
      </c>
      <c r="D242" s="18" t="s">
        <v>106</v>
      </c>
      <c r="E242" s="18" t="s">
        <v>101</v>
      </c>
      <c r="F242" s="18" t="s">
        <v>100</v>
      </c>
      <c r="G242" s="18" t="s">
        <v>100</v>
      </c>
      <c r="H242" s="19">
        <v>52</v>
      </c>
      <c r="I242" s="19">
        <v>46</v>
      </c>
      <c r="J242" s="19">
        <v>0</v>
      </c>
    </row>
    <row r="243" spans="1:10" x14ac:dyDescent="0.25">
      <c r="A243" s="18">
        <v>1930</v>
      </c>
      <c r="B243" s="18" t="s">
        <v>59</v>
      </c>
      <c r="C243" s="18" t="s">
        <v>122</v>
      </c>
      <c r="D243" s="18" t="s">
        <v>108</v>
      </c>
      <c r="E243" s="18" t="s">
        <v>100</v>
      </c>
      <c r="F243" s="18" t="s">
        <v>100</v>
      </c>
      <c r="G243" s="18" t="s">
        <v>100</v>
      </c>
      <c r="H243" s="19">
        <v>1</v>
      </c>
      <c r="I243" s="19">
        <v>1</v>
      </c>
      <c r="J243" s="19">
        <v>0</v>
      </c>
    </row>
    <row r="244" spans="1:10" x14ac:dyDescent="0.25">
      <c r="A244" s="18">
        <v>1930</v>
      </c>
      <c r="B244" s="18" t="s">
        <v>59</v>
      </c>
      <c r="C244" s="18" t="s">
        <v>122</v>
      </c>
      <c r="D244" s="18" t="s">
        <v>108</v>
      </c>
      <c r="E244" s="18" t="s">
        <v>101</v>
      </c>
      <c r="F244" s="18" t="s">
        <v>100</v>
      </c>
      <c r="G244" s="18" t="s">
        <v>100</v>
      </c>
      <c r="H244" s="19">
        <v>2</v>
      </c>
      <c r="I244" s="19">
        <v>2</v>
      </c>
      <c r="J244" s="19">
        <v>0</v>
      </c>
    </row>
    <row r="245" spans="1:10" x14ac:dyDescent="0.25">
      <c r="A245" s="18">
        <v>1930</v>
      </c>
      <c r="B245" s="18" t="s">
        <v>59</v>
      </c>
      <c r="C245" s="18" t="s">
        <v>122</v>
      </c>
      <c r="D245" s="18" t="s">
        <v>106</v>
      </c>
      <c r="E245" s="18" t="s">
        <v>100</v>
      </c>
      <c r="F245" s="18" t="s">
        <v>100</v>
      </c>
      <c r="G245" s="18" t="s">
        <v>100</v>
      </c>
      <c r="H245" s="19">
        <v>17</v>
      </c>
      <c r="I245" s="19">
        <v>17</v>
      </c>
      <c r="J245" s="19">
        <v>1</v>
      </c>
    </row>
    <row r="246" spans="1:10" x14ac:dyDescent="0.25">
      <c r="A246" s="18">
        <v>1930</v>
      </c>
      <c r="B246" s="18" t="s">
        <v>59</v>
      </c>
      <c r="C246" s="18" t="s">
        <v>122</v>
      </c>
      <c r="D246" s="18" t="s">
        <v>106</v>
      </c>
      <c r="E246" s="18" t="s">
        <v>101</v>
      </c>
      <c r="F246" s="18" t="s">
        <v>100</v>
      </c>
      <c r="G246" s="18" t="s">
        <v>100</v>
      </c>
      <c r="H246" s="19">
        <v>34</v>
      </c>
      <c r="I246" s="19">
        <v>34</v>
      </c>
      <c r="J246" s="19">
        <v>0</v>
      </c>
    </row>
    <row r="247" spans="1:10" x14ac:dyDescent="0.25">
      <c r="A247" s="18">
        <v>1930</v>
      </c>
      <c r="B247" s="18" t="s">
        <v>59</v>
      </c>
      <c r="C247" s="18" t="s">
        <v>115</v>
      </c>
      <c r="D247" s="18" t="s">
        <v>125</v>
      </c>
      <c r="E247" s="18" t="s">
        <v>100</v>
      </c>
      <c r="F247" s="18" t="s">
        <v>100</v>
      </c>
      <c r="G247" s="18" t="s">
        <v>100</v>
      </c>
      <c r="H247" s="19">
        <v>251</v>
      </c>
      <c r="I247" s="19">
        <v>251</v>
      </c>
      <c r="J247" s="19">
        <v>0</v>
      </c>
    </row>
    <row r="248" spans="1:10" x14ac:dyDescent="0.25">
      <c r="A248" s="18">
        <v>1930</v>
      </c>
      <c r="B248" s="18" t="s">
        <v>59</v>
      </c>
      <c r="C248" s="18" t="s">
        <v>115</v>
      </c>
      <c r="D248" s="18" t="s">
        <v>125</v>
      </c>
      <c r="E248" s="18" t="s">
        <v>100</v>
      </c>
      <c r="F248" s="18" t="s">
        <v>101</v>
      </c>
      <c r="G248" s="18" t="s">
        <v>100</v>
      </c>
      <c r="H248" s="19">
        <v>502</v>
      </c>
      <c r="I248" s="19">
        <v>502</v>
      </c>
      <c r="J248" s="19">
        <v>1</v>
      </c>
    </row>
    <row r="249" spans="1:10" x14ac:dyDescent="0.25">
      <c r="A249" s="18">
        <v>1930</v>
      </c>
      <c r="B249" s="18" t="s">
        <v>59</v>
      </c>
      <c r="C249" s="18" t="s">
        <v>115</v>
      </c>
      <c r="D249" s="18" t="s">
        <v>125</v>
      </c>
      <c r="E249" s="18" t="s">
        <v>101</v>
      </c>
      <c r="F249" s="18" t="s">
        <v>100</v>
      </c>
      <c r="G249" s="18" t="s">
        <v>100</v>
      </c>
      <c r="H249" s="19">
        <v>502</v>
      </c>
      <c r="I249" s="19">
        <v>414</v>
      </c>
      <c r="J249" s="19">
        <v>1</v>
      </c>
    </row>
    <row r="250" spans="1:10" x14ac:dyDescent="0.25">
      <c r="A250" s="18">
        <v>1930</v>
      </c>
      <c r="B250" s="18" t="s">
        <v>59</v>
      </c>
      <c r="C250" s="18" t="s">
        <v>115</v>
      </c>
      <c r="D250" s="18" t="s">
        <v>125</v>
      </c>
      <c r="E250" s="18" t="s">
        <v>101</v>
      </c>
      <c r="F250" s="18" t="s">
        <v>101</v>
      </c>
      <c r="G250" s="18" t="s">
        <v>100</v>
      </c>
      <c r="H250" s="19">
        <v>1004</v>
      </c>
      <c r="I250" s="19">
        <v>828</v>
      </c>
      <c r="J250" s="19">
        <v>0</v>
      </c>
    </row>
    <row r="251" spans="1:10" x14ac:dyDescent="0.25">
      <c r="A251" s="18">
        <v>1930</v>
      </c>
      <c r="B251" s="18" t="s">
        <v>59</v>
      </c>
      <c r="C251" s="18" t="s">
        <v>115</v>
      </c>
      <c r="D251" s="18" t="s">
        <v>105</v>
      </c>
      <c r="E251" s="18" t="s">
        <v>100</v>
      </c>
      <c r="F251" s="18" t="s">
        <v>100</v>
      </c>
      <c r="G251" s="18" t="s">
        <v>100</v>
      </c>
      <c r="H251" s="19">
        <v>65</v>
      </c>
      <c r="I251" s="19">
        <v>65</v>
      </c>
      <c r="J251" s="19">
        <v>0</v>
      </c>
    </row>
    <row r="252" spans="1:10" x14ac:dyDescent="0.25">
      <c r="A252" s="18">
        <v>1930</v>
      </c>
      <c r="B252" s="18" t="s">
        <v>59</v>
      </c>
      <c r="C252" s="18" t="s">
        <v>115</v>
      </c>
      <c r="D252" s="18" t="s">
        <v>105</v>
      </c>
      <c r="E252" s="18" t="s">
        <v>100</v>
      </c>
      <c r="F252" s="18" t="s">
        <v>101</v>
      </c>
      <c r="G252" s="18" t="s">
        <v>100</v>
      </c>
      <c r="H252" s="19">
        <v>130</v>
      </c>
      <c r="I252" s="19">
        <v>130</v>
      </c>
      <c r="J252" s="19">
        <v>0</v>
      </c>
    </row>
    <row r="253" spans="1:10" x14ac:dyDescent="0.25">
      <c r="A253" s="18">
        <v>1930</v>
      </c>
      <c r="B253" s="18" t="s">
        <v>59</v>
      </c>
      <c r="C253" s="18" t="s">
        <v>115</v>
      </c>
      <c r="D253" s="18" t="s">
        <v>105</v>
      </c>
      <c r="E253" s="18" t="s">
        <v>101</v>
      </c>
      <c r="F253" s="18" t="s">
        <v>100</v>
      </c>
      <c r="G253" s="18" t="s">
        <v>100</v>
      </c>
      <c r="H253" s="19">
        <v>130</v>
      </c>
      <c r="I253" s="19">
        <v>130</v>
      </c>
      <c r="J253" s="19">
        <v>0</v>
      </c>
    </row>
    <row r="254" spans="1:10" x14ac:dyDescent="0.25">
      <c r="A254" s="18">
        <v>1930</v>
      </c>
      <c r="B254" s="18" t="s">
        <v>59</v>
      </c>
      <c r="C254" s="18" t="s">
        <v>115</v>
      </c>
      <c r="D254" s="18" t="s">
        <v>105</v>
      </c>
      <c r="E254" s="18" t="s">
        <v>101</v>
      </c>
      <c r="F254" s="18" t="s">
        <v>101</v>
      </c>
      <c r="G254" s="18" t="s">
        <v>100</v>
      </c>
      <c r="H254" s="19">
        <v>260</v>
      </c>
      <c r="I254" s="19">
        <v>260</v>
      </c>
      <c r="J254" s="19">
        <v>0</v>
      </c>
    </row>
    <row r="255" spans="1:10" x14ac:dyDescent="0.25">
      <c r="A255" s="18">
        <v>1930</v>
      </c>
      <c r="B255" s="18" t="s">
        <v>59</v>
      </c>
      <c r="C255" s="18" t="s">
        <v>115</v>
      </c>
      <c r="D255" s="18" t="s">
        <v>108</v>
      </c>
      <c r="E255" s="18" t="s">
        <v>100</v>
      </c>
      <c r="F255" s="18" t="s">
        <v>100</v>
      </c>
      <c r="G255" s="18" t="s">
        <v>100</v>
      </c>
      <c r="H255" s="19">
        <v>1</v>
      </c>
      <c r="I255" s="19">
        <v>1</v>
      </c>
      <c r="J255" s="19">
        <v>0</v>
      </c>
    </row>
    <row r="256" spans="1:10" x14ac:dyDescent="0.25">
      <c r="A256" s="18">
        <v>1930</v>
      </c>
      <c r="B256" s="18" t="s">
        <v>59</v>
      </c>
      <c r="C256" s="18" t="s">
        <v>115</v>
      </c>
      <c r="D256" s="18" t="s">
        <v>108</v>
      </c>
      <c r="E256" s="18" t="s">
        <v>100</v>
      </c>
      <c r="F256" s="18" t="s">
        <v>101</v>
      </c>
      <c r="G256" s="18" t="s">
        <v>100</v>
      </c>
      <c r="H256" s="19">
        <v>2</v>
      </c>
      <c r="I256" s="19">
        <v>2</v>
      </c>
      <c r="J256" s="19">
        <v>0</v>
      </c>
    </row>
    <row r="257" spans="1:10" x14ac:dyDescent="0.25">
      <c r="A257" s="18">
        <v>1930</v>
      </c>
      <c r="B257" s="18" t="s">
        <v>59</v>
      </c>
      <c r="C257" s="18" t="s">
        <v>115</v>
      </c>
      <c r="D257" s="18" t="s">
        <v>108</v>
      </c>
      <c r="E257" s="18" t="s">
        <v>101</v>
      </c>
      <c r="F257" s="18" t="s">
        <v>100</v>
      </c>
      <c r="G257" s="18" t="s">
        <v>100</v>
      </c>
      <c r="H257" s="19">
        <v>2</v>
      </c>
      <c r="I257" s="19">
        <v>2</v>
      </c>
      <c r="J257" s="19">
        <v>0</v>
      </c>
    </row>
    <row r="258" spans="1:10" x14ac:dyDescent="0.25">
      <c r="A258" s="18">
        <v>1930</v>
      </c>
      <c r="B258" s="18" t="s">
        <v>59</v>
      </c>
      <c r="C258" s="18" t="s">
        <v>115</v>
      </c>
      <c r="D258" s="18" t="s">
        <v>108</v>
      </c>
      <c r="E258" s="18" t="s">
        <v>101</v>
      </c>
      <c r="F258" s="18" t="s">
        <v>101</v>
      </c>
      <c r="G258" s="18" t="s">
        <v>100</v>
      </c>
      <c r="H258" s="19">
        <v>4</v>
      </c>
      <c r="I258" s="19">
        <v>4</v>
      </c>
      <c r="J258" s="19">
        <v>0</v>
      </c>
    </row>
    <row r="259" spans="1:10" x14ac:dyDescent="0.25">
      <c r="A259" s="18">
        <v>1930</v>
      </c>
      <c r="B259" s="18" t="s">
        <v>59</v>
      </c>
      <c r="C259" s="18" t="s">
        <v>115</v>
      </c>
      <c r="D259" s="18" t="s">
        <v>106</v>
      </c>
      <c r="E259" s="18" t="s">
        <v>100</v>
      </c>
      <c r="F259" s="18" t="s">
        <v>100</v>
      </c>
      <c r="G259" s="18" t="s">
        <v>100</v>
      </c>
      <c r="H259" s="19">
        <v>17</v>
      </c>
      <c r="I259" s="19">
        <v>17</v>
      </c>
      <c r="J259" s="19">
        <v>1</v>
      </c>
    </row>
    <row r="260" spans="1:10" x14ac:dyDescent="0.25">
      <c r="A260" s="18">
        <v>1930</v>
      </c>
      <c r="B260" s="18" t="s">
        <v>59</v>
      </c>
      <c r="C260" s="18" t="s">
        <v>115</v>
      </c>
      <c r="D260" s="18" t="s">
        <v>106</v>
      </c>
      <c r="E260" s="18" t="s">
        <v>100</v>
      </c>
      <c r="F260" s="18" t="s">
        <v>101</v>
      </c>
      <c r="G260" s="18" t="s">
        <v>100</v>
      </c>
      <c r="H260" s="19">
        <v>34</v>
      </c>
      <c r="I260" s="19">
        <v>34</v>
      </c>
      <c r="J260" s="19">
        <v>0</v>
      </c>
    </row>
    <row r="261" spans="1:10" x14ac:dyDescent="0.25">
      <c r="A261" s="18">
        <v>1930</v>
      </c>
      <c r="B261" s="18" t="s">
        <v>59</v>
      </c>
      <c r="C261" s="18" t="s">
        <v>115</v>
      </c>
      <c r="D261" s="18" t="s">
        <v>106</v>
      </c>
      <c r="E261" s="18" t="s">
        <v>101</v>
      </c>
      <c r="F261" s="18" t="s">
        <v>100</v>
      </c>
      <c r="G261" s="18" t="s">
        <v>100</v>
      </c>
      <c r="H261" s="19">
        <v>34</v>
      </c>
      <c r="I261" s="19">
        <v>34</v>
      </c>
      <c r="J261" s="19">
        <v>0</v>
      </c>
    </row>
    <row r="262" spans="1:10" x14ac:dyDescent="0.25">
      <c r="A262" s="18">
        <v>1930</v>
      </c>
      <c r="B262" s="18" t="s">
        <v>59</v>
      </c>
      <c r="C262" s="18" t="s">
        <v>115</v>
      </c>
      <c r="D262" s="18" t="s">
        <v>106</v>
      </c>
      <c r="E262" s="18" t="s">
        <v>101</v>
      </c>
      <c r="F262" s="18" t="s">
        <v>101</v>
      </c>
      <c r="G262" s="18" t="s">
        <v>100</v>
      </c>
      <c r="H262" s="19">
        <v>68</v>
      </c>
      <c r="I262" s="19">
        <v>68</v>
      </c>
      <c r="J262" s="19">
        <v>0</v>
      </c>
    </row>
    <row r="263" spans="1:10" x14ac:dyDescent="0.25">
      <c r="A263" s="18">
        <v>1930</v>
      </c>
      <c r="B263" s="18" t="s">
        <v>59</v>
      </c>
      <c r="C263" s="18" t="s">
        <v>126</v>
      </c>
      <c r="D263" s="18" t="s">
        <v>106</v>
      </c>
      <c r="E263" s="18" t="s">
        <v>100</v>
      </c>
      <c r="F263" s="18" t="s">
        <v>100</v>
      </c>
      <c r="G263" s="18" t="s">
        <v>100</v>
      </c>
      <c r="H263" s="19">
        <v>17</v>
      </c>
      <c r="I263" s="19">
        <v>17</v>
      </c>
      <c r="J263" s="19">
        <v>0</v>
      </c>
    </row>
    <row r="264" spans="1:10" x14ac:dyDescent="0.25">
      <c r="A264" s="18">
        <v>1930</v>
      </c>
      <c r="B264" s="18" t="s">
        <v>59</v>
      </c>
      <c r="C264" s="18" t="s">
        <v>126</v>
      </c>
      <c r="D264" s="18" t="s">
        <v>106</v>
      </c>
      <c r="E264" s="18" t="s">
        <v>100</v>
      </c>
      <c r="F264" s="18" t="s">
        <v>100</v>
      </c>
      <c r="G264" s="18" t="s">
        <v>101</v>
      </c>
      <c r="H264" s="19">
        <v>1734</v>
      </c>
      <c r="I264" s="19">
        <v>1719</v>
      </c>
      <c r="J264" s="19">
        <v>3</v>
      </c>
    </row>
    <row r="265" spans="1:10" x14ac:dyDescent="0.25">
      <c r="A265" s="18">
        <v>1930</v>
      </c>
      <c r="B265" s="18" t="s">
        <v>59</v>
      </c>
      <c r="C265" s="18" t="s">
        <v>126</v>
      </c>
      <c r="D265" s="18" t="s">
        <v>106</v>
      </c>
      <c r="E265" s="18" t="s">
        <v>100</v>
      </c>
      <c r="F265" s="18" t="s">
        <v>101</v>
      </c>
      <c r="G265" s="18" t="s">
        <v>100</v>
      </c>
      <c r="H265" s="19">
        <v>34</v>
      </c>
      <c r="I265" s="19">
        <v>34</v>
      </c>
      <c r="J265" s="19">
        <v>0</v>
      </c>
    </row>
    <row r="266" spans="1:10" x14ac:dyDescent="0.25">
      <c r="A266" s="18">
        <v>1930</v>
      </c>
      <c r="B266" s="18" t="s">
        <v>59</v>
      </c>
      <c r="C266" s="18" t="s">
        <v>126</v>
      </c>
      <c r="D266" s="18" t="s">
        <v>106</v>
      </c>
      <c r="E266" s="18" t="s">
        <v>100</v>
      </c>
      <c r="F266" s="18" t="s">
        <v>101</v>
      </c>
      <c r="G266" s="18" t="s">
        <v>101</v>
      </c>
      <c r="H266" s="19">
        <v>3468</v>
      </c>
      <c r="I266" s="19">
        <v>3412</v>
      </c>
      <c r="J266" s="19">
        <v>1</v>
      </c>
    </row>
    <row r="267" spans="1:10" x14ac:dyDescent="0.25">
      <c r="A267" s="18">
        <v>1930</v>
      </c>
      <c r="B267" s="18" t="s">
        <v>65</v>
      </c>
      <c r="C267" s="18" t="s">
        <v>113</v>
      </c>
      <c r="D267" s="18" t="s">
        <v>108</v>
      </c>
      <c r="E267" s="18" t="s">
        <v>100</v>
      </c>
      <c r="F267" s="18" t="s">
        <v>100</v>
      </c>
      <c r="G267" s="18" t="s">
        <v>100</v>
      </c>
      <c r="H267" s="19">
        <v>1</v>
      </c>
      <c r="I267" s="19">
        <v>1</v>
      </c>
      <c r="J267" s="19">
        <v>0</v>
      </c>
    </row>
    <row r="268" spans="1:10" x14ac:dyDescent="0.25">
      <c r="A268" s="18">
        <v>1930</v>
      </c>
      <c r="B268" s="18" t="s">
        <v>65</v>
      </c>
      <c r="C268" s="18" t="s">
        <v>113</v>
      </c>
      <c r="D268" s="18" t="s">
        <v>108</v>
      </c>
      <c r="E268" s="18" t="s">
        <v>100</v>
      </c>
      <c r="F268" s="18" t="s">
        <v>101</v>
      </c>
      <c r="G268" s="18" t="s">
        <v>100</v>
      </c>
      <c r="H268" s="19">
        <v>2</v>
      </c>
      <c r="I268" s="19">
        <v>2</v>
      </c>
      <c r="J268" s="19">
        <v>0</v>
      </c>
    </row>
    <row r="269" spans="1:10" x14ac:dyDescent="0.25">
      <c r="A269" s="18">
        <v>1930</v>
      </c>
      <c r="B269" s="18" t="s">
        <v>65</v>
      </c>
      <c r="C269" s="18" t="s">
        <v>113</v>
      </c>
      <c r="D269" s="18" t="s">
        <v>106</v>
      </c>
      <c r="E269" s="18" t="s">
        <v>100</v>
      </c>
      <c r="F269" s="18" t="s">
        <v>100</v>
      </c>
      <c r="G269" s="18" t="s">
        <v>100</v>
      </c>
      <c r="H269" s="19">
        <v>26</v>
      </c>
      <c r="I269" s="19">
        <v>17</v>
      </c>
      <c r="J269" s="19">
        <v>0</v>
      </c>
    </row>
    <row r="270" spans="1:10" x14ac:dyDescent="0.25">
      <c r="A270" s="18">
        <v>1930</v>
      </c>
      <c r="B270" s="18" t="s">
        <v>65</v>
      </c>
      <c r="C270" s="18" t="s">
        <v>113</v>
      </c>
      <c r="D270" s="18" t="s">
        <v>106</v>
      </c>
      <c r="E270" s="18" t="s">
        <v>100</v>
      </c>
      <c r="F270" s="18" t="s">
        <v>101</v>
      </c>
      <c r="G270" s="18" t="s">
        <v>100</v>
      </c>
      <c r="H270" s="19">
        <v>52</v>
      </c>
      <c r="I270" s="19">
        <v>34</v>
      </c>
      <c r="J270" s="19">
        <v>0</v>
      </c>
    </row>
    <row r="271" spans="1:10" x14ac:dyDescent="0.25">
      <c r="A271" s="18">
        <v>1930</v>
      </c>
      <c r="B271" s="18" t="s">
        <v>65</v>
      </c>
      <c r="C271" s="18" t="s">
        <v>118</v>
      </c>
      <c r="D271" s="18" t="s">
        <v>108</v>
      </c>
      <c r="E271" s="18" t="s">
        <v>100</v>
      </c>
      <c r="F271" s="18" t="s">
        <v>100</v>
      </c>
      <c r="G271" s="18" t="s">
        <v>100</v>
      </c>
      <c r="H271" s="19">
        <v>2</v>
      </c>
      <c r="I271" s="19">
        <v>1</v>
      </c>
      <c r="J271" s="19">
        <v>0</v>
      </c>
    </row>
    <row r="272" spans="1:10" x14ac:dyDescent="0.25">
      <c r="A272" s="18">
        <v>1930</v>
      </c>
      <c r="B272" s="18" t="s">
        <v>65</v>
      </c>
      <c r="C272" s="18" t="s">
        <v>118</v>
      </c>
      <c r="D272" s="18" t="s">
        <v>108</v>
      </c>
      <c r="E272" s="18" t="s">
        <v>100</v>
      </c>
      <c r="F272" s="18" t="s">
        <v>100</v>
      </c>
      <c r="G272" s="18" t="s">
        <v>101</v>
      </c>
      <c r="H272" s="19">
        <v>11</v>
      </c>
      <c r="I272" s="19">
        <v>11</v>
      </c>
      <c r="J272" s="19">
        <v>0</v>
      </c>
    </row>
    <row r="273" spans="1:10" x14ac:dyDescent="0.25">
      <c r="A273" s="18">
        <v>1930</v>
      </c>
      <c r="B273" s="18" t="s">
        <v>65</v>
      </c>
      <c r="C273" s="18" t="s">
        <v>115</v>
      </c>
      <c r="D273" s="18" t="s">
        <v>108</v>
      </c>
      <c r="E273" s="18" t="s">
        <v>100</v>
      </c>
      <c r="F273" s="18" t="s">
        <v>100</v>
      </c>
      <c r="G273" s="18" t="s">
        <v>100</v>
      </c>
      <c r="H273" s="19">
        <v>1</v>
      </c>
      <c r="I273" s="19">
        <v>1</v>
      </c>
      <c r="J273" s="19">
        <v>0</v>
      </c>
    </row>
    <row r="274" spans="1:10" x14ac:dyDescent="0.25">
      <c r="A274" s="18">
        <v>1930</v>
      </c>
      <c r="B274" s="18" t="s">
        <v>65</v>
      </c>
      <c r="C274" s="18" t="s">
        <v>115</v>
      </c>
      <c r="D274" s="18" t="s">
        <v>108</v>
      </c>
      <c r="E274" s="18" t="s">
        <v>101</v>
      </c>
      <c r="F274" s="18" t="s">
        <v>100</v>
      </c>
      <c r="G274" s="18" t="s">
        <v>100</v>
      </c>
      <c r="H274" s="19">
        <v>2</v>
      </c>
      <c r="I274" s="19">
        <v>2</v>
      </c>
      <c r="J274" s="19">
        <v>0</v>
      </c>
    </row>
    <row r="275" spans="1:10" x14ac:dyDescent="0.25">
      <c r="A275" s="18">
        <v>1930</v>
      </c>
      <c r="B275" s="18" t="s">
        <v>65</v>
      </c>
      <c r="C275" s="18" t="s">
        <v>115</v>
      </c>
      <c r="D275" s="18" t="s">
        <v>106</v>
      </c>
      <c r="E275" s="18" t="s">
        <v>100</v>
      </c>
      <c r="F275" s="18" t="s">
        <v>100</v>
      </c>
      <c r="G275" s="18" t="s">
        <v>100</v>
      </c>
      <c r="H275" s="19">
        <v>26</v>
      </c>
      <c r="I275" s="19">
        <v>17</v>
      </c>
      <c r="J275" s="19">
        <v>0</v>
      </c>
    </row>
    <row r="276" spans="1:10" x14ac:dyDescent="0.25">
      <c r="A276" s="18">
        <v>1930</v>
      </c>
      <c r="B276" s="18" t="s">
        <v>65</v>
      </c>
      <c r="C276" s="18" t="s">
        <v>115</v>
      </c>
      <c r="D276" s="18" t="s">
        <v>106</v>
      </c>
      <c r="E276" s="18" t="s">
        <v>101</v>
      </c>
      <c r="F276" s="18" t="s">
        <v>100</v>
      </c>
      <c r="G276" s="18" t="s">
        <v>100</v>
      </c>
      <c r="H276" s="19">
        <v>52</v>
      </c>
      <c r="I276" s="19">
        <v>34</v>
      </c>
      <c r="J276" s="19">
        <v>0</v>
      </c>
    </row>
    <row r="277" spans="1:10" x14ac:dyDescent="0.25">
      <c r="A277" s="18">
        <v>1940</v>
      </c>
      <c r="B277" s="18" t="s">
        <v>62</v>
      </c>
      <c r="C277" s="18" t="s">
        <v>127</v>
      </c>
      <c r="D277" s="18" t="s">
        <v>108</v>
      </c>
      <c r="E277" s="18" t="s">
        <v>100</v>
      </c>
      <c r="F277" s="18" t="s">
        <v>101</v>
      </c>
      <c r="G277" s="18" t="s">
        <v>100</v>
      </c>
      <c r="H277" s="19">
        <v>2</v>
      </c>
      <c r="I277" s="19">
        <v>2</v>
      </c>
      <c r="J277" s="19">
        <v>0</v>
      </c>
    </row>
    <row r="278" spans="1:10" x14ac:dyDescent="0.25">
      <c r="A278" s="18">
        <v>1940</v>
      </c>
      <c r="B278" s="18" t="s">
        <v>62</v>
      </c>
      <c r="C278" s="18" t="s">
        <v>127</v>
      </c>
      <c r="D278" s="18" t="s">
        <v>108</v>
      </c>
      <c r="E278" s="18" t="s">
        <v>100</v>
      </c>
      <c r="F278" s="18" t="s">
        <v>101</v>
      </c>
      <c r="G278" s="18" t="s">
        <v>101</v>
      </c>
      <c r="H278" s="19">
        <v>42</v>
      </c>
      <c r="I278" s="19">
        <v>42</v>
      </c>
      <c r="J278" s="19">
        <v>0</v>
      </c>
    </row>
    <row r="279" spans="1:10" x14ac:dyDescent="0.25">
      <c r="A279" s="18">
        <v>1940</v>
      </c>
      <c r="B279" s="18" t="s">
        <v>62</v>
      </c>
      <c r="C279" s="18" t="s">
        <v>127</v>
      </c>
      <c r="D279" s="18" t="s">
        <v>106</v>
      </c>
      <c r="E279" s="18" t="s">
        <v>100</v>
      </c>
      <c r="F279" s="18" t="s">
        <v>101</v>
      </c>
      <c r="G279" s="18" t="s">
        <v>100</v>
      </c>
      <c r="H279" s="19">
        <v>50</v>
      </c>
      <c r="I279" s="19">
        <v>50</v>
      </c>
      <c r="J279" s="19">
        <v>0</v>
      </c>
    </row>
    <row r="280" spans="1:10" x14ac:dyDescent="0.25">
      <c r="A280" s="18">
        <v>1940</v>
      </c>
      <c r="B280" s="18" t="s">
        <v>62</v>
      </c>
      <c r="C280" s="18" t="s">
        <v>127</v>
      </c>
      <c r="D280" s="18" t="s">
        <v>106</v>
      </c>
      <c r="E280" s="18" t="s">
        <v>100</v>
      </c>
      <c r="F280" s="18" t="s">
        <v>101</v>
      </c>
      <c r="G280" s="18" t="s">
        <v>101</v>
      </c>
      <c r="H280" s="19">
        <v>1050</v>
      </c>
      <c r="I280" s="19">
        <v>1050</v>
      </c>
      <c r="J280" s="19">
        <v>0</v>
      </c>
    </row>
    <row r="281" spans="1:10" x14ac:dyDescent="0.25">
      <c r="A281" s="18">
        <v>1940</v>
      </c>
      <c r="B281" s="18" t="s">
        <v>62</v>
      </c>
      <c r="C281" s="18" t="s">
        <v>128</v>
      </c>
      <c r="D281" s="18" t="s">
        <v>125</v>
      </c>
      <c r="E281" s="18" t="s">
        <v>100</v>
      </c>
      <c r="F281" s="18" t="s">
        <v>100</v>
      </c>
      <c r="G281" s="18" t="s">
        <v>100</v>
      </c>
      <c r="H281" s="19">
        <v>278</v>
      </c>
      <c r="I281" s="19">
        <v>278</v>
      </c>
      <c r="J281" s="19">
        <v>2</v>
      </c>
    </row>
    <row r="282" spans="1:10" x14ac:dyDescent="0.25">
      <c r="A282" s="18">
        <v>1940</v>
      </c>
      <c r="B282" s="18" t="s">
        <v>62</v>
      </c>
      <c r="C282" s="18" t="s">
        <v>128</v>
      </c>
      <c r="D282" s="18" t="s">
        <v>125</v>
      </c>
      <c r="E282" s="18" t="s">
        <v>101</v>
      </c>
      <c r="F282" s="18" t="s">
        <v>100</v>
      </c>
      <c r="G282" s="18" t="s">
        <v>100</v>
      </c>
      <c r="H282" s="19">
        <v>1112</v>
      </c>
      <c r="I282" s="19">
        <v>1068</v>
      </c>
      <c r="J282" s="19">
        <v>0</v>
      </c>
    </row>
    <row r="283" spans="1:10" x14ac:dyDescent="0.25">
      <c r="A283" s="18">
        <v>1940</v>
      </c>
      <c r="B283" s="18" t="s">
        <v>62</v>
      </c>
      <c r="C283" s="18" t="s">
        <v>128</v>
      </c>
      <c r="D283" s="18" t="s">
        <v>125</v>
      </c>
      <c r="E283" s="18" t="s">
        <v>101</v>
      </c>
      <c r="F283" s="18" t="s">
        <v>101</v>
      </c>
      <c r="G283" s="18" t="s">
        <v>100</v>
      </c>
      <c r="H283" s="19">
        <v>1112</v>
      </c>
      <c r="I283" s="19">
        <v>1068</v>
      </c>
      <c r="J283" s="19">
        <v>0</v>
      </c>
    </row>
    <row r="284" spans="1:10" x14ac:dyDescent="0.25">
      <c r="A284" s="18">
        <v>1940</v>
      </c>
      <c r="B284" s="18" t="s">
        <v>62</v>
      </c>
      <c r="C284" s="18" t="s">
        <v>128</v>
      </c>
      <c r="D284" s="18" t="s">
        <v>105</v>
      </c>
      <c r="E284" s="18" t="s">
        <v>100</v>
      </c>
      <c r="F284" s="18" t="s">
        <v>100</v>
      </c>
      <c r="G284" s="18" t="s">
        <v>100</v>
      </c>
      <c r="H284" s="19">
        <v>85</v>
      </c>
      <c r="I284" s="19">
        <v>85</v>
      </c>
      <c r="J284" s="19">
        <v>2</v>
      </c>
    </row>
    <row r="285" spans="1:10" x14ac:dyDescent="0.25">
      <c r="A285" s="18">
        <v>1940</v>
      </c>
      <c r="B285" s="18" t="s">
        <v>62</v>
      </c>
      <c r="C285" s="18" t="s">
        <v>128</v>
      </c>
      <c r="D285" s="18" t="s">
        <v>105</v>
      </c>
      <c r="E285" s="18" t="s">
        <v>101</v>
      </c>
      <c r="F285" s="18" t="s">
        <v>100</v>
      </c>
      <c r="G285" s="18" t="s">
        <v>100</v>
      </c>
      <c r="H285" s="19">
        <v>340</v>
      </c>
      <c r="I285" s="19">
        <v>340</v>
      </c>
      <c r="J285" s="19">
        <v>1</v>
      </c>
    </row>
    <row r="286" spans="1:10" x14ac:dyDescent="0.25">
      <c r="A286" s="18">
        <v>1940</v>
      </c>
      <c r="B286" s="18" t="s">
        <v>62</v>
      </c>
      <c r="C286" s="18" t="s">
        <v>128</v>
      </c>
      <c r="D286" s="18" t="s">
        <v>105</v>
      </c>
      <c r="E286" s="18" t="s">
        <v>101</v>
      </c>
      <c r="F286" s="18" t="s">
        <v>101</v>
      </c>
      <c r="G286" s="18" t="s">
        <v>100</v>
      </c>
      <c r="H286" s="19">
        <v>340</v>
      </c>
      <c r="I286" s="19">
        <v>340</v>
      </c>
      <c r="J286" s="19">
        <v>0</v>
      </c>
    </row>
    <row r="287" spans="1:10" x14ac:dyDescent="0.25">
      <c r="A287" s="18">
        <v>1940</v>
      </c>
      <c r="B287" s="18" t="s">
        <v>62</v>
      </c>
      <c r="C287" s="18" t="s">
        <v>128</v>
      </c>
      <c r="D287" s="18" t="s">
        <v>106</v>
      </c>
      <c r="E287" s="18" t="s">
        <v>100</v>
      </c>
      <c r="F287" s="18" t="s">
        <v>100</v>
      </c>
      <c r="G287" s="18" t="s">
        <v>100</v>
      </c>
      <c r="H287" s="19">
        <v>25</v>
      </c>
      <c r="I287" s="19">
        <v>25</v>
      </c>
      <c r="J287" s="19">
        <v>3</v>
      </c>
    </row>
    <row r="288" spans="1:10" x14ac:dyDescent="0.25">
      <c r="A288" s="18">
        <v>1940</v>
      </c>
      <c r="B288" s="18" t="s">
        <v>62</v>
      </c>
      <c r="C288" s="18" t="s">
        <v>128</v>
      </c>
      <c r="D288" s="18" t="s">
        <v>106</v>
      </c>
      <c r="E288" s="18" t="s">
        <v>101</v>
      </c>
      <c r="F288" s="18" t="s">
        <v>100</v>
      </c>
      <c r="G288" s="18" t="s">
        <v>100</v>
      </c>
      <c r="H288" s="19">
        <v>100</v>
      </c>
      <c r="I288" s="19">
        <v>100</v>
      </c>
      <c r="J288" s="19">
        <v>2</v>
      </c>
    </row>
    <row r="289" spans="1:10" x14ac:dyDescent="0.25">
      <c r="A289" s="18">
        <v>1940</v>
      </c>
      <c r="B289" s="18" t="s">
        <v>62</v>
      </c>
      <c r="C289" s="18" t="s">
        <v>128</v>
      </c>
      <c r="D289" s="18" t="s">
        <v>106</v>
      </c>
      <c r="E289" s="18" t="s">
        <v>101</v>
      </c>
      <c r="F289" s="18" t="s">
        <v>101</v>
      </c>
      <c r="G289" s="18" t="s">
        <v>100</v>
      </c>
      <c r="H289" s="19">
        <v>100</v>
      </c>
      <c r="I289" s="19">
        <v>100</v>
      </c>
      <c r="J289" s="19">
        <v>1</v>
      </c>
    </row>
    <row r="290" spans="1:10" x14ac:dyDescent="0.25">
      <c r="A290" s="18">
        <v>1940</v>
      </c>
      <c r="B290" s="18" t="s">
        <v>65</v>
      </c>
      <c r="C290" s="18" t="s">
        <v>113</v>
      </c>
      <c r="D290" s="18" t="s">
        <v>108</v>
      </c>
      <c r="E290" s="18" t="s">
        <v>100</v>
      </c>
      <c r="F290" s="18" t="s">
        <v>100</v>
      </c>
      <c r="G290" s="18" t="s">
        <v>100</v>
      </c>
      <c r="H290" s="19">
        <v>1</v>
      </c>
      <c r="I290" s="19">
        <v>1</v>
      </c>
      <c r="J290" s="19">
        <v>0</v>
      </c>
    </row>
    <row r="291" spans="1:10" x14ac:dyDescent="0.25">
      <c r="A291" s="18">
        <v>1940</v>
      </c>
      <c r="B291" s="18" t="s">
        <v>65</v>
      </c>
      <c r="C291" s="18" t="s">
        <v>113</v>
      </c>
      <c r="D291" s="18" t="s">
        <v>108</v>
      </c>
      <c r="E291" s="18" t="s">
        <v>100</v>
      </c>
      <c r="F291" s="18" t="s">
        <v>101</v>
      </c>
      <c r="G291" s="18" t="s">
        <v>100</v>
      </c>
      <c r="H291" s="19">
        <v>2</v>
      </c>
      <c r="I291" s="19">
        <v>2</v>
      </c>
      <c r="J291" s="19">
        <v>0</v>
      </c>
    </row>
    <row r="292" spans="1:10" x14ac:dyDescent="0.25">
      <c r="A292" s="18">
        <v>1940</v>
      </c>
      <c r="B292" s="18" t="s">
        <v>65</v>
      </c>
      <c r="C292" s="18" t="s">
        <v>113</v>
      </c>
      <c r="D292" s="18" t="s">
        <v>106</v>
      </c>
      <c r="E292" s="18" t="s">
        <v>100</v>
      </c>
      <c r="F292" s="18" t="s">
        <v>100</v>
      </c>
      <c r="G292" s="18" t="s">
        <v>100</v>
      </c>
      <c r="H292" s="19">
        <v>26</v>
      </c>
      <c r="I292" s="19">
        <v>25</v>
      </c>
      <c r="J292" s="19">
        <v>0</v>
      </c>
    </row>
    <row r="293" spans="1:10" x14ac:dyDescent="0.25">
      <c r="A293" s="18">
        <v>1940</v>
      </c>
      <c r="B293" s="18" t="s">
        <v>65</v>
      </c>
      <c r="C293" s="18" t="s">
        <v>113</v>
      </c>
      <c r="D293" s="18" t="s">
        <v>106</v>
      </c>
      <c r="E293" s="18" t="s">
        <v>100</v>
      </c>
      <c r="F293" s="18" t="s">
        <v>101</v>
      </c>
      <c r="G293" s="18" t="s">
        <v>100</v>
      </c>
      <c r="H293" s="19">
        <v>52</v>
      </c>
      <c r="I293" s="19">
        <v>50</v>
      </c>
      <c r="J293" s="19">
        <v>0</v>
      </c>
    </row>
    <row r="294" spans="1:10" x14ac:dyDescent="0.25">
      <c r="A294" s="18">
        <v>1940</v>
      </c>
      <c r="B294" s="18" t="s">
        <v>65</v>
      </c>
      <c r="C294" s="18" t="s">
        <v>118</v>
      </c>
      <c r="D294" s="18" t="s">
        <v>108</v>
      </c>
      <c r="E294" s="18" t="s">
        <v>100</v>
      </c>
      <c r="F294" s="18" t="s">
        <v>100</v>
      </c>
      <c r="G294" s="18" t="s">
        <v>100</v>
      </c>
      <c r="H294" s="19">
        <v>2</v>
      </c>
      <c r="I294" s="19">
        <v>1</v>
      </c>
      <c r="J294" s="19">
        <v>0</v>
      </c>
    </row>
    <row r="295" spans="1:10" x14ac:dyDescent="0.25">
      <c r="A295" s="18">
        <v>1940</v>
      </c>
      <c r="B295" s="18" t="s">
        <v>65</v>
      </c>
      <c r="C295" s="18" t="s">
        <v>118</v>
      </c>
      <c r="D295" s="18" t="s">
        <v>108</v>
      </c>
      <c r="E295" s="18" t="s">
        <v>100</v>
      </c>
      <c r="F295" s="18" t="s">
        <v>100</v>
      </c>
      <c r="G295" s="18" t="s">
        <v>101</v>
      </c>
      <c r="H295" s="19">
        <v>11</v>
      </c>
      <c r="I295" s="19">
        <v>11</v>
      </c>
      <c r="J295" s="19">
        <v>0</v>
      </c>
    </row>
    <row r="296" spans="1:10" x14ac:dyDescent="0.25">
      <c r="A296" s="18">
        <v>1940</v>
      </c>
      <c r="B296" s="18" t="s">
        <v>65</v>
      </c>
      <c r="C296" s="18" t="s">
        <v>115</v>
      </c>
      <c r="D296" s="18" t="s">
        <v>108</v>
      </c>
      <c r="E296" s="18" t="s">
        <v>100</v>
      </c>
      <c r="F296" s="18" t="s">
        <v>100</v>
      </c>
      <c r="G296" s="18" t="s">
        <v>100</v>
      </c>
      <c r="H296" s="19">
        <v>1</v>
      </c>
      <c r="I296" s="19">
        <v>1</v>
      </c>
      <c r="J296" s="19">
        <v>0</v>
      </c>
    </row>
    <row r="297" spans="1:10" x14ac:dyDescent="0.25">
      <c r="A297" s="18">
        <v>1940</v>
      </c>
      <c r="B297" s="18" t="s">
        <v>65</v>
      </c>
      <c r="C297" s="18" t="s">
        <v>115</v>
      </c>
      <c r="D297" s="18" t="s">
        <v>108</v>
      </c>
      <c r="E297" s="18" t="s">
        <v>101</v>
      </c>
      <c r="F297" s="18" t="s">
        <v>100</v>
      </c>
      <c r="G297" s="18" t="s">
        <v>100</v>
      </c>
      <c r="H297" s="19">
        <v>2</v>
      </c>
      <c r="I297" s="19">
        <v>2</v>
      </c>
      <c r="J297" s="19">
        <v>0</v>
      </c>
    </row>
    <row r="298" spans="1:10" x14ac:dyDescent="0.25">
      <c r="A298" s="18">
        <v>1940</v>
      </c>
      <c r="B298" s="18" t="s">
        <v>65</v>
      </c>
      <c r="C298" s="18" t="s">
        <v>115</v>
      </c>
      <c r="D298" s="18" t="s">
        <v>106</v>
      </c>
      <c r="E298" s="18" t="s">
        <v>100</v>
      </c>
      <c r="F298" s="18" t="s">
        <v>100</v>
      </c>
      <c r="G298" s="18" t="s">
        <v>100</v>
      </c>
      <c r="H298" s="19">
        <v>26</v>
      </c>
      <c r="I298" s="19">
        <v>25</v>
      </c>
      <c r="J298" s="19">
        <v>0</v>
      </c>
    </row>
    <row r="299" spans="1:10" x14ac:dyDescent="0.25">
      <c r="A299" s="18">
        <v>1940</v>
      </c>
      <c r="B299" s="18" t="s">
        <v>65</v>
      </c>
      <c r="C299" s="18" t="s">
        <v>115</v>
      </c>
      <c r="D299" s="18" t="s">
        <v>106</v>
      </c>
      <c r="E299" s="18" t="s">
        <v>101</v>
      </c>
      <c r="F299" s="18" t="s">
        <v>100</v>
      </c>
      <c r="G299" s="18" t="s">
        <v>100</v>
      </c>
      <c r="H299" s="19">
        <v>52</v>
      </c>
      <c r="I299" s="19">
        <v>50</v>
      </c>
      <c r="J299" s="19">
        <v>0</v>
      </c>
    </row>
    <row r="300" spans="1:10" x14ac:dyDescent="0.25">
      <c r="A300" s="18">
        <v>1940</v>
      </c>
      <c r="B300" s="18" t="s">
        <v>69</v>
      </c>
      <c r="C300" s="18" t="s">
        <v>129</v>
      </c>
      <c r="D300" s="18" t="s">
        <v>108</v>
      </c>
      <c r="E300" s="18" t="s">
        <v>100</v>
      </c>
      <c r="F300" s="18" t="s">
        <v>100</v>
      </c>
      <c r="G300" s="18" t="s">
        <v>100</v>
      </c>
      <c r="H300" s="19">
        <v>1</v>
      </c>
      <c r="I300" s="19">
        <v>1</v>
      </c>
      <c r="J300" s="19">
        <v>0</v>
      </c>
    </row>
    <row r="301" spans="1:10" x14ac:dyDescent="0.25">
      <c r="A301" s="18">
        <v>1940</v>
      </c>
      <c r="B301" s="18" t="s">
        <v>69</v>
      </c>
      <c r="C301" s="18" t="s">
        <v>129</v>
      </c>
      <c r="D301" s="18" t="s">
        <v>108</v>
      </c>
      <c r="E301" s="18" t="s">
        <v>101</v>
      </c>
      <c r="F301" s="18" t="s">
        <v>100</v>
      </c>
      <c r="G301" s="18" t="s">
        <v>100</v>
      </c>
      <c r="H301" s="19">
        <v>2</v>
      </c>
      <c r="I301" s="19">
        <v>2</v>
      </c>
      <c r="J301" s="19">
        <v>0</v>
      </c>
    </row>
    <row r="302" spans="1:10" x14ac:dyDescent="0.25">
      <c r="A302" s="18">
        <v>1940</v>
      </c>
      <c r="B302" s="18" t="s">
        <v>69</v>
      </c>
      <c r="C302" s="18" t="s">
        <v>129</v>
      </c>
      <c r="D302" s="18" t="s">
        <v>106</v>
      </c>
      <c r="E302" s="18" t="s">
        <v>100</v>
      </c>
      <c r="F302" s="18" t="s">
        <v>100</v>
      </c>
      <c r="G302" s="18" t="s">
        <v>100</v>
      </c>
      <c r="H302" s="19">
        <v>26</v>
      </c>
      <c r="I302" s="19">
        <v>26</v>
      </c>
      <c r="J302" s="19">
        <v>0</v>
      </c>
    </row>
    <row r="303" spans="1:10" x14ac:dyDescent="0.25">
      <c r="A303" s="18">
        <v>1940</v>
      </c>
      <c r="B303" s="18" t="s">
        <v>69</v>
      </c>
      <c r="C303" s="18" t="s">
        <v>129</v>
      </c>
      <c r="D303" s="18" t="s">
        <v>106</v>
      </c>
      <c r="E303" s="18" t="s">
        <v>101</v>
      </c>
      <c r="F303" s="18" t="s">
        <v>100</v>
      </c>
      <c r="G303" s="18" t="s">
        <v>100</v>
      </c>
      <c r="H303" s="19">
        <v>52</v>
      </c>
      <c r="I303" s="19">
        <v>52</v>
      </c>
      <c r="J303" s="19">
        <v>0</v>
      </c>
    </row>
    <row r="304" spans="1:10" x14ac:dyDescent="0.25">
      <c r="A304" s="18">
        <v>1952</v>
      </c>
      <c r="B304" s="18" t="s">
        <v>130</v>
      </c>
      <c r="C304" s="18" t="s">
        <v>131</v>
      </c>
      <c r="D304" s="18" t="s">
        <v>108</v>
      </c>
      <c r="E304" s="18" t="s">
        <v>100</v>
      </c>
      <c r="F304" s="18" t="s">
        <v>100</v>
      </c>
      <c r="G304" s="18" t="s">
        <v>100</v>
      </c>
      <c r="H304" s="19">
        <v>2</v>
      </c>
      <c r="I304" s="19">
        <v>2</v>
      </c>
      <c r="J304" s="19">
        <v>0</v>
      </c>
    </row>
    <row r="305" spans="1:10" x14ac:dyDescent="0.25">
      <c r="A305" s="18">
        <v>1952</v>
      </c>
      <c r="B305" s="18" t="s">
        <v>130</v>
      </c>
      <c r="C305" s="18" t="s">
        <v>131</v>
      </c>
      <c r="D305" s="18" t="s">
        <v>108</v>
      </c>
      <c r="E305" s="18" t="s">
        <v>100</v>
      </c>
      <c r="F305" s="18" t="s">
        <v>100</v>
      </c>
      <c r="G305" s="18" t="s">
        <v>101</v>
      </c>
      <c r="H305" s="19">
        <v>101</v>
      </c>
      <c r="I305" s="19">
        <v>101</v>
      </c>
      <c r="J305" s="19">
        <v>0</v>
      </c>
    </row>
    <row r="306" spans="1:10" x14ac:dyDescent="0.25">
      <c r="A306" s="18">
        <v>1952</v>
      </c>
      <c r="B306" s="18" t="s">
        <v>130</v>
      </c>
      <c r="C306" s="18" t="s">
        <v>131</v>
      </c>
      <c r="D306" s="18" t="s">
        <v>108</v>
      </c>
      <c r="E306" s="18" t="s">
        <v>100</v>
      </c>
      <c r="F306" s="18" t="s">
        <v>101</v>
      </c>
      <c r="G306" s="18" t="s">
        <v>100</v>
      </c>
      <c r="H306" s="19">
        <v>4</v>
      </c>
      <c r="I306" s="19">
        <v>4</v>
      </c>
      <c r="J306" s="19">
        <v>0</v>
      </c>
    </row>
    <row r="307" spans="1:10" x14ac:dyDescent="0.25">
      <c r="A307" s="18">
        <v>1952</v>
      </c>
      <c r="B307" s="18" t="s">
        <v>130</v>
      </c>
      <c r="C307" s="18" t="s">
        <v>131</v>
      </c>
      <c r="D307" s="18" t="s">
        <v>108</v>
      </c>
      <c r="E307" s="18" t="s">
        <v>100</v>
      </c>
      <c r="F307" s="18" t="s">
        <v>101</v>
      </c>
      <c r="G307" s="18" t="s">
        <v>101</v>
      </c>
      <c r="H307" s="19">
        <v>202</v>
      </c>
      <c r="I307" s="19">
        <v>202</v>
      </c>
      <c r="J307" s="19">
        <v>0</v>
      </c>
    </row>
    <row r="308" spans="1:10" x14ac:dyDescent="0.25">
      <c r="A308" s="18">
        <v>1952</v>
      </c>
      <c r="B308" s="18" t="s">
        <v>130</v>
      </c>
      <c r="C308" s="18" t="s">
        <v>131</v>
      </c>
      <c r="D308" s="18" t="s">
        <v>108</v>
      </c>
      <c r="E308" s="18" t="s">
        <v>101</v>
      </c>
      <c r="F308" s="18" t="s">
        <v>100</v>
      </c>
      <c r="G308" s="18" t="s">
        <v>100</v>
      </c>
      <c r="H308" s="19">
        <v>4</v>
      </c>
      <c r="I308" s="19">
        <v>4</v>
      </c>
      <c r="J308" s="19">
        <v>0</v>
      </c>
    </row>
    <row r="309" spans="1:10" x14ac:dyDescent="0.25">
      <c r="A309" s="18">
        <v>1952</v>
      </c>
      <c r="B309" s="18" t="s">
        <v>130</v>
      </c>
      <c r="C309" s="18" t="s">
        <v>131</v>
      </c>
      <c r="D309" s="18" t="s">
        <v>108</v>
      </c>
      <c r="E309" s="18" t="s">
        <v>101</v>
      </c>
      <c r="F309" s="18" t="s">
        <v>100</v>
      </c>
      <c r="G309" s="18" t="s">
        <v>101</v>
      </c>
      <c r="H309" s="19">
        <v>202</v>
      </c>
      <c r="I309" s="19">
        <v>202</v>
      </c>
      <c r="J309" s="19">
        <v>0</v>
      </c>
    </row>
    <row r="310" spans="1:10" x14ac:dyDescent="0.25">
      <c r="A310" s="18">
        <v>1952</v>
      </c>
      <c r="B310" s="18" t="s">
        <v>130</v>
      </c>
      <c r="C310" s="18" t="s">
        <v>131</v>
      </c>
      <c r="D310" s="18" t="s">
        <v>108</v>
      </c>
      <c r="E310" s="18" t="s">
        <v>101</v>
      </c>
      <c r="F310" s="18" t="s">
        <v>101</v>
      </c>
      <c r="G310" s="18" t="s">
        <v>100</v>
      </c>
      <c r="H310" s="19">
        <v>8</v>
      </c>
      <c r="I310" s="19">
        <v>8</v>
      </c>
      <c r="J310" s="19">
        <v>0</v>
      </c>
    </row>
    <row r="311" spans="1:10" x14ac:dyDescent="0.25">
      <c r="A311" s="18">
        <v>1952</v>
      </c>
      <c r="B311" s="18" t="s">
        <v>130</v>
      </c>
      <c r="C311" s="18" t="s">
        <v>131</v>
      </c>
      <c r="D311" s="18" t="s">
        <v>108</v>
      </c>
      <c r="E311" s="18" t="s">
        <v>101</v>
      </c>
      <c r="F311" s="18" t="s">
        <v>101</v>
      </c>
      <c r="G311" s="18" t="s">
        <v>101</v>
      </c>
      <c r="H311" s="19">
        <v>404</v>
      </c>
      <c r="I311" s="19">
        <v>404</v>
      </c>
      <c r="J311" s="19">
        <v>1</v>
      </c>
    </row>
    <row r="312" spans="1:10" x14ac:dyDescent="0.25">
      <c r="A312" s="18">
        <v>1952</v>
      </c>
      <c r="B312" s="18" t="s">
        <v>130</v>
      </c>
      <c r="C312" s="18" t="s">
        <v>132</v>
      </c>
      <c r="D312" s="18" t="s">
        <v>108</v>
      </c>
      <c r="E312" s="18" t="s">
        <v>100</v>
      </c>
      <c r="F312" s="18" t="s">
        <v>100</v>
      </c>
      <c r="G312" s="18" t="s">
        <v>100</v>
      </c>
      <c r="H312" s="19">
        <v>1</v>
      </c>
      <c r="I312" s="19">
        <v>1</v>
      </c>
      <c r="J312" s="19">
        <v>0</v>
      </c>
    </row>
    <row r="313" spans="1:10" x14ac:dyDescent="0.25">
      <c r="A313" s="18">
        <v>1952</v>
      </c>
      <c r="B313" s="18" t="s">
        <v>130</v>
      </c>
      <c r="C313" s="18" t="s">
        <v>132</v>
      </c>
      <c r="D313" s="18" t="s">
        <v>108</v>
      </c>
      <c r="E313" s="18" t="s">
        <v>100</v>
      </c>
      <c r="F313" s="18" t="s">
        <v>101</v>
      </c>
      <c r="G313" s="18" t="s">
        <v>100</v>
      </c>
      <c r="H313" s="19">
        <v>2</v>
      </c>
      <c r="I313" s="19">
        <v>2</v>
      </c>
      <c r="J313" s="19">
        <v>0</v>
      </c>
    </row>
    <row r="314" spans="1:10" x14ac:dyDescent="0.25">
      <c r="A314" s="18">
        <v>1952</v>
      </c>
      <c r="B314" s="18" t="s">
        <v>130</v>
      </c>
      <c r="C314" s="18" t="s">
        <v>132</v>
      </c>
      <c r="D314" s="18" t="s">
        <v>108</v>
      </c>
      <c r="E314" s="18" t="s">
        <v>101</v>
      </c>
      <c r="F314" s="18" t="s">
        <v>100</v>
      </c>
      <c r="G314" s="18" t="s">
        <v>100</v>
      </c>
      <c r="H314" s="19">
        <v>2</v>
      </c>
      <c r="I314" s="19">
        <v>2</v>
      </c>
      <c r="J314" s="19">
        <v>0</v>
      </c>
    </row>
    <row r="315" spans="1:10" x14ac:dyDescent="0.25">
      <c r="A315" s="18">
        <v>1952</v>
      </c>
      <c r="B315" s="18" t="s">
        <v>130</v>
      </c>
      <c r="C315" s="18" t="s">
        <v>132</v>
      </c>
      <c r="D315" s="18" t="s">
        <v>108</v>
      </c>
      <c r="E315" s="18" t="s">
        <v>101</v>
      </c>
      <c r="F315" s="18" t="s">
        <v>101</v>
      </c>
      <c r="G315" s="18" t="s">
        <v>100</v>
      </c>
      <c r="H315" s="19">
        <v>4</v>
      </c>
      <c r="I315" s="19">
        <v>4</v>
      </c>
      <c r="J315" s="19">
        <v>0</v>
      </c>
    </row>
    <row r="316" spans="1:10" x14ac:dyDescent="0.25">
      <c r="A316" s="18">
        <v>1952</v>
      </c>
      <c r="B316" s="18" t="s">
        <v>130</v>
      </c>
      <c r="C316" s="18" t="s">
        <v>132</v>
      </c>
      <c r="D316" s="18" t="s">
        <v>106</v>
      </c>
      <c r="E316" s="18" t="s">
        <v>100</v>
      </c>
      <c r="F316" s="18" t="s">
        <v>100</v>
      </c>
      <c r="G316" s="18" t="s">
        <v>100</v>
      </c>
      <c r="H316" s="19">
        <v>26</v>
      </c>
      <c r="I316" s="19">
        <v>26</v>
      </c>
      <c r="J316" s="19">
        <v>0</v>
      </c>
    </row>
    <row r="317" spans="1:10" x14ac:dyDescent="0.25">
      <c r="A317" s="18">
        <v>1952</v>
      </c>
      <c r="B317" s="18" t="s">
        <v>130</v>
      </c>
      <c r="C317" s="18" t="s">
        <v>132</v>
      </c>
      <c r="D317" s="18" t="s">
        <v>106</v>
      </c>
      <c r="E317" s="18" t="s">
        <v>100</v>
      </c>
      <c r="F317" s="18" t="s">
        <v>101</v>
      </c>
      <c r="G317" s="18" t="s">
        <v>100</v>
      </c>
      <c r="H317" s="19">
        <v>52</v>
      </c>
      <c r="I317" s="19">
        <v>51</v>
      </c>
      <c r="J317" s="19">
        <v>0</v>
      </c>
    </row>
    <row r="318" spans="1:10" x14ac:dyDescent="0.25">
      <c r="A318" s="18">
        <v>1952</v>
      </c>
      <c r="B318" s="18" t="s">
        <v>130</v>
      </c>
      <c r="C318" s="18" t="s">
        <v>132</v>
      </c>
      <c r="D318" s="18" t="s">
        <v>106</v>
      </c>
      <c r="E318" s="18" t="s">
        <v>101</v>
      </c>
      <c r="F318" s="18" t="s">
        <v>100</v>
      </c>
      <c r="G318" s="18" t="s">
        <v>100</v>
      </c>
      <c r="H318" s="19">
        <v>52</v>
      </c>
      <c r="I318" s="19">
        <v>51</v>
      </c>
      <c r="J318" s="19">
        <v>0</v>
      </c>
    </row>
    <row r="319" spans="1:10" x14ac:dyDescent="0.25">
      <c r="A319" s="18">
        <v>1952</v>
      </c>
      <c r="B319" s="18" t="s">
        <v>130</v>
      </c>
      <c r="C319" s="18" t="s">
        <v>132</v>
      </c>
      <c r="D319" s="18" t="s">
        <v>106</v>
      </c>
      <c r="E319" s="18" t="s">
        <v>101</v>
      </c>
      <c r="F319" s="18" t="s">
        <v>101</v>
      </c>
      <c r="G319" s="18" t="s">
        <v>100</v>
      </c>
      <c r="H319" s="19">
        <v>104</v>
      </c>
      <c r="I319" s="19">
        <v>101</v>
      </c>
      <c r="J319" s="19">
        <v>0</v>
      </c>
    </row>
    <row r="320" spans="1:10" x14ac:dyDescent="0.25">
      <c r="A320" s="18">
        <v>1952</v>
      </c>
      <c r="B320" s="18" t="s">
        <v>65</v>
      </c>
      <c r="C320" s="18" t="s">
        <v>113</v>
      </c>
      <c r="D320" s="18" t="s">
        <v>108</v>
      </c>
      <c r="E320" s="18" t="s">
        <v>100</v>
      </c>
      <c r="F320" s="18" t="s">
        <v>100</v>
      </c>
      <c r="G320" s="18" t="s">
        <v>100</v>
      </c>
      <c r="H320" s="19">
        <v>1</v>
      </c>
      <c r="I320" s="19">
        <v>1</v>
      </c>
      <c r="J320" s="19">
        <v>0</v>
      </c>
    </row>
    <row r="321" spans="1:10" x14ac:dyDescent="0.25">
      <c r="A321" s="18">
        <v>1952</v>
      </c>
      <c r="B321" s="18" t="s">
        <v>65</v>
      </c>
      <c r="C321" s="18" t="s">
        <v>113</v>
      </c>
      <c r="D321" s="18" t="s">
        <v>108</v>
      </c>
      <c r="E321" s="18" t="s">
        <v>100</v>
      </c>
      <c r="F321" s="18" t="s">
        <v>101</v>
      </c>
      <c r="G321" s="18" t="s">
        <v>100</v>
      </c>
      <c r="H321" s="19">
        <v>2</v>
      </c>
      <c r="I321" s="19">
        <v>2</v>
      </c>
      <c r="J321" s="19">
        <v>0</v>
      </c>
    </row>
    <row r="322" spans="1:10" x14ac:dyDescent="0.25">
      <c r="A322" s="18">
        <v>1952</v>
      </c>
      <c r="B322" s="18" t="s">
        <v>65</v>
      </c>
      <c r="C322" s="18" t="s">
        <v>113</v>
      </c>
      <c r="D322" s="18" t="s">
        <v>106</v>
      </c>
      <c r="E322" s="18" t="s">
        <v>100</v>
      </c>
      <c r="F322" s="18" t="s">
        <v>100</v>
      </c>
      <c r="G322" s="18" t="s">
        <v>100</v>
      </c>
      <c r="H322" s="19">
        <v>26</v>
      </c>
      <c r="I322" s="19">
        <v>26</v>
      </c>
      <c r="J322" s="19">
        <v>0</v>
      </c>
    </row>
    <row r="323" spans="1:10" x14ac:dyDescent="0.25">
      <c r="A323" s="18">
        <v>1952</v>
      </c>
      <c r="B323" s="18" t="s">
        <v>65</v>
      </c>
      <c r="C323" s="18" t="s">
        <v>113</v>
      </c>
      <c r="D323" s="18" t="s">
        <v>106</v>
      </c>
      <c r="E323" s="18" t="s">
        <v>100</v>
      </c>
      <c r="F323" s="18" t="s">
        <v>101</v>
      </c>
      <c r="G323" s="18" t="s">
        <v>100</v>
      </c>
      <c r="H323" s="19">
        <v>52</v>
      </c>
      <c r="I323" s="19">
        <v>51</v>
      </c>
      <c r="J323" s="19">
        <v>0</v>
      </c>
    </row>
    <row r="324" spans="1:10" x14ac:dyDescent="0.25">
      <c r="A324" s="18">
        <v>1952</v>
      </c>
      <c r="B324" s="18" t="s">
        <v>65</v>
      </c>
      <c r="C324" s="18" t="s">
        <v>118</v>
      </c>
      <c r="D324" s="18" t="s">
        <v>108</v>
      </c>
      <c r="E324" s="18" t="s">
        <v>100</v>
      </c>
      <c r="F324" s="18" t="s">
        <v>100</v>
      </c>
      <c r="G324" s="18" t="s">
        <v>100</v>
      </c>
      <c r="H324" s="19">
        <v>2</v>
      </c>
      <c r="I324" s="19">
        <v>2</v>
      </c>
      <c r="J324" s="19">
        <v>0</v>
      </c>
    </row>
    <row r="325" spans="1:10" x14ac:dyDescent="0.25">
      <c r="A325" s="18">
        <v>1952</v>
      </c>
      <c r="B325" s="18" t="s">
        <v>65</v>
      </c>
      <c r="C325" s="18" t="s">
        <v>118</v>
      </c>
      <c r="D325" s="18" t="s">
        <v>108</v>
      </c>
      <c r="E325" s="18" t="s">
        <v>100</v>
      </c>
      <c r="F325" s="18" t="s">
        <v>100</v>
      </c>
      <c r="G325" s="18" t="s">
        <v>101</v>
      </c>
      <c r="H325" s="19">
        <v>11</v>
      </c>
      <c r="I325" s="19">
        <v>11</v>
      </c>
      <c r="J325" s="19">
        <v>0</v>
      </c>
    </row>
    <row r="326" spans="1:10" x14ac:dyDescent="0.25">
      <c r="A326" s="18">
        <v>1952</v>
      </c>
      <c r="B326" s="18" t="s">
        <v>65</v>
      </c>
      <c r="C326" s="18" t="s">
        <v>115</v>
      </c>
      <c r="D326" s="18" t="s">
        <v>108</v>
      </c>
      <c r="E326" s="18" t="s">
        <v>100</v>
      </c>
      <c r="F326" s="18" t="s">
        <v>100</v>
      </c>
      <c r="G326" s="18" t="s">
        <v>100</v>
      </c>
      <c r="H326" s="19">
        <v>1</v>
      </c>
      <c r="I326" s="19">
        <v>1</v>
      </c>
      <c r="J326" s="19">
        <v>0</v>
      </c>
    </row>
    <row r="327" spans="1:10" x14ac:dyDescent="0.25">
      <c r="A327" s="18">
        <v>1952</v>
      </c>
      <c r="B327" s="18" t="s">
        <v>65</v>
      </c>
      <c r="C327" s="18" t="s">
        <v>115</v>
      </c>
      <c r="D327" s="18" t="s">
        <v>108</v>
      </c>
      <c r="E327" s="18" t="s">
        <v>101</v>
      </c>
      <c r="F327" s="18" t="s">
        <v>100</v>
      </c>
      <c r="G327" s="18" t="s">
        <v>100</v>
      </c>
      <c r="H327" s="19">
        <v>2</v>
      </c>
      <c r="I327" s="19">
        <v>2</v>
      </c>
      <c r="J327" s="19">
        <v>0</v>
      </c>
    </row>
    <row r="328" spans="1:10" x14ac:dyDescent="0.25">
      <c r="A328" s="18">
        <v>1952</v>
      </c>
      <c r="B328" s="18" t="s">
        <v>65</v>
      </c>
      <c r="C328" s="18" t="s">
        <v>115</v>
      </c>
      <c r="D328" s="18" t="s">
        <v>106</v>
      </c>
      <c r="E328" s="18" t="s">
        <v>100</v>
      </c>
      <c r="F328" s="18" t="s">
        <v>100</v>
      </c>
      <c r="G328" s="18" t="s">
        <v>100</v>
      </c>
      <c r="H328" s="19">
        <v>26</v>
      </c>
      <c r="I328" s="19">
        <v>26</v>
      </c>
      <c r="J328" s="19">
        <v>0</v>
      </c>
    </row>
    <row r="329" spans="1:10" x14ac:dyDescent="0.25">
      <c r="A329" s="18">
        <v>1952</v>
      </c>
      <c r="B329" s="18" t="s">
        <v>65</v>
      </c>
      <c r="C329" s="18" t="s">
        <v>115</v>
      </c>
      <c r="D329" s="18" t="s">
        <v>106</v>
      </c>
      <c r="E329" s="18" t="s">
        <v>101</v>
      </c>
      <c r="F329" s="18" t="s">
        <v>100</v>
      </c>
      <c r="G329" s="18" t="s">
        <v>100</v>
      </c>
      <c r="H329" s="19">
        <v>52</v>
      </c>
      <c r="I329" s="19">
        <v>51</v>
      </c>
      <c r="J329" s="19">
        <v>0</v>
      </c>
    </row>
    <row r="330" spans="1:10" x14ac:dyDescent="0.25">
      <c r="A330" s="18">
        <v>1952</v>
      </c>
      <c r="B330" s="18" t="s">
        <v>65</v>
      </c>
      <c r="C330" s="18" t="s">
        <v>133</v>
      </c>
      <c r="D330" s="18" t="s">
        <v>125</v>
      </c>
      <c r="E330" s="18" t="s">
        <v>100</v>
      </c>
      <c r="F330" s="18" t="s">
        <v>100</v>
      </c>
      <c r="G330" s="18" t="s">
        <v>100</v>
      </c>
      <c r="H330" s="19">
        <v>287</v>
      </c>
      <c r="I330" s="19">
        <v>287</v>
      </c>
      <c r="J330" s="19">
        <v>0</v>
      </c>
    </row>
    <row r="331" spans="1:10" x14ac:dyDescent="0.25">
      <c r="A331" s="18">
        <v>1952</v>
      </c>
      <c r="B331" s="18" t="s">
        <v>65</v>
      </c>
      <c r="C331" s="18" t="s">
        <v>133</v>
      </c>
      <c r="D331" s="18" t="s">
        <v>105</v>
      </c>
      <c r="E331" s="18" t="s">
        <v>100</v>
      </c>
      <c r="F331" s="18" t="s">
        <v>100</v>
      </c>
      <c r="G331" s="18" t="s">
        <v>100</v>
      </c>
      <c r="H331" s="19">
        <v>87</v>
      </c>
      <c r="I331" s="19">
        <v>87</v>
      </c>
      <c r="J331" s="19">
        <v>2</v>
      </c>
    </row>
    <row r="332" spans="1:10" x14ac:dyDescent="0.25">
      <c r="A332" s="18">
        <v>1952</v>
      </c>
      <c r="B332" s="18" t="s">
        <v>65</v>
      </c>
      <c r="C332" s="18" t="s">
        <v>133</v>
      </c>
      <c r="D332" s="18" t="s">
        <v>108</v>
      </c>
      <c r="E332" s="18" t="s">
        <v>100</v>
      </c>
      <c r="F332" s="18" t="s">
        <v>100</v>
      </c>
      <c r="G332" s="18" t="s">
        <v>100</v>
      </c>
      <c r="H332" s="19">
        <v>1</v>
      </c>
      <c r="I332" s="19">
        <v>1</v>
      </c>
      <c r="J332" s="19">
        <v>0</v>
      </c>
    </row>
    <row r="333" spans="1:10" x14ac:dyDescent="0.25">
      <c r="A333" s="18">
        <v>1952</v>
      </c>
      <c r="B333" s="18" t="s">
        <v>65</v>
      </c>
      <c r="C333" s="18" t="s">
        <v>133</v>
      </c>
      <c r="D333" s="18" t="s">
        <v>106</v>
      </c>
      <c r="E333" s="18" t="s">
        <v>100</v>
      </c>
      <c r="F333" s="18" t="s">
        <v>100</v>
      </c>
      <c r="G333" s="18" t="s">
        <v>100</v>
      </c>
      <c r="H333" s="19">
        <v>26</v>
      </c>
      <c r="I333" s="19">
        <v>26</v>
      </c>
      <c r="J333" s="19">
        <v>0</v>
      </c>
    </row>
    <row r="334" spans="1:10" x14ac:dyDescent="0.25">
      <c r="A334" s="18">
        <v>1952</v>
      </c>
      <c r="B334" s="18" t="s">
        <v>65</v>
      </c>
      <c r="C334" s="18" t="s">
        <v>134</v>
      </c>
      <c r="D334" s="18" t="s">
        <v>108</v>
      </c>
      <c r="E334" s="18" t="s">
        <v>100</v>
      </c>
      <c r="F334" s="18" t="s">
        <v>100</v>
      </c>
      <c r="G334" s="18" t="s">
        <v>100</v>
      </c>
      <c r="H334" s="19">
        <v>2</v>
      </c>
      <c r="I334" s="19">
        <v>2</v>
      </c>
      <c r="J334" s="19">
        <v>0</v>
      </c>
    </row>
    <row r="335" spans="1:10" x14ac:dyDescent="0.25">
      <c r="A335" s="18">
        <v>1952</v>
      </c>
      <c r="B335" s="18" t="s">
        <v>65</v>
      </c>
      <c r="C335" s="18" t="s">
        <v>134</v>
      </c>
      <c r="D335" s="18" t="s">
        <v>108</v>
      </c>
      <c r="E335" s="18" t="s">
        <v>100</v>
      </c>
      <c r="F335" s="18" t="s">
        <v>100</v>
      </c>
      <c r="G335" s="18" t="s">
        <v>101</v>
      </c>
      <c r="H335" s="19">
        <v>21</v>
      </c>
      <c r="I335" s="19">
        <v>21</v>
      </c>
      <c r="J335" s="19">
        <v>0</v>
      </c>
    </row>
    <row r="336" spans="1:10" x14ac:dyDescent="0.25">
      <c r="A336" s="18">
        <v>1952</v>
      </c>
      <c r="B336" s="18" t="s">
        <v>65</v>
      </c>
      <c r="C336" s="18" t="s">
        <v>134</v>
      </c>
      <c r="D336" s="18" t="s">
        <v>108</v>
      </c>
      <c r="E336" s="18" t="s">
        <v>100</v>
      </c>
      <c r="F336" s="18" t="s">
        <v>101</v>
      </c>
      <c r="G336" s="18" t="s">
        <v>100</v>
      </c>
      <c r="H336" s="19">
        <v>4</v>
      </c>
      <c r="I336" s="19">
        <v>4</v>
      </c>
      <c r="J336" s="19">
        <v>0</v>
      </c>
    </row>
    <row r="337" spans="1:10" x14ac:dyDescent="0.25">
      <c r="A337" s="18">
        <v>1952</v>
      </c>
      <c r="B337" s="18" t="s">
        <v>65</v>
      </c>
      <c r="C337" s="18" t="s">
        <v>134</v>
      </c>
      <c r="D337" s="18" t="s">
        <v>108</v>
      </c>
      <c r="E337" s="18" t="s">
        <v>100</v>
      </c>
      <c r="F337" s="18" t="s">
        <v>101</v>
      </c>
      <c r="G337" s="18" t="s">
        <v>101</v>
      </c>
      <c r="H337" s="19">
        <v>42</v>
      </c>
      <c r="I337" s="19">
        <v>42</v>
      </c>
      <c r="J337" s="19">
        <v>0</v>
      </c>
    </row>
    <row r="338" spans="1:10" x14ac:dyDescent="0.25">
      <c r="A338" s="18">
        <v>1952</v>
      </c>
      <c r="B338" s="18" t="s">
        <v>69</v>
      </c>
      <c r="C338" s="18" t="s">
        <v>129</v>
      </c>
      <c r="D338" s="18" t="s">
        <v>108</v>
      </c>
      <c r="E338" s="18" t="s">
        <v>100</v>
      </c>
      <c r="F338" s="18" t="s">
        <v>100</v>
      </c>
      <c r="G338" s="18" t="s">
        <v>100</v>
      </c>
      <c r="H338" s="19">
        <v>1</v>
      </c>
      <c r="I338" s="19">
        <v>1</v>
      </c>
      <c r="J338" s="19">
        <v>0</v>
      </c>
    </row>
    <row r="339" spans="1:10" x14ac:dyDescent="0.25">
      <c r="A339" s="18">
        <v>1952</v>
      </c>
      <c r="B339" s="18" t="s">
        <v>69</v>
      </c>
      <c r="C339" s="18" t="s">
        <v>129</v>
      </c>
      <c r="D339" s="18" t="s">
        <v>108</v>
      </c>
      <c r="E339" s="18" t="s">
        <v>101</v>
      </c>
      <c r="F339" s="18" t="s">
        <v>100</v>
      </c>
      <c r="G339" s="18" t="s">
        <v>100</v>
      </c>
      <c r="H339" s="19">
        <v>2</v>
      </c>
      <c r="I339" s="19">
        <v>2</v>
      </c>
      <c r="J339" s="19">
        <v>0</v>
      </c>
    </row>
    <row r="340" spans="1:10" x14ac:dyDescent="0.25">
      <c r="A340" s="18">
        <v>1952</v>
      </c>
      <c r="B340" s="18" t="s">
        <v>69</v>
      </c>
      <c r="C340" s="18" t="s">
        <v>129</v>
      </c>
      <c r="D340" s="18" t="s">
        <v>106</v>
      </c>
      <c r="E340" s="18" t="s">
        <v>100</v>
      </c>
      <c r="F340" s="18" t="s">
        <v>100</v>
      </c>
      <c r="G340" s="18" t="s">
        <v>100</v>
      </c>
      <c r="H340" s="19">
        <v>26</v>
      </c>
      <c r="I340" s="19">
        <v>26</v>
      </c>
      <c r="J340" s="19">
        <v>1</v>
      </c>
    </row>
    <row r="341" spans="1:10" x14ac:dyDescent="0.25">
      <c r="A341" s="18">
        <v>1952</v>
      </c>
      <c r="B341" s="18" t="s">
        <v>69</v>
      </c>
      <c r="C341" s="18" t="s">
        <v>129</v>
      </c>
      <c r="D341" s="18" t="s">
        <v>106</v>
      </c>
      <c r="E341" s="18" t="s">
        <v>101</v>
      </c>
      <c r="F341" s="18" t="s">
        <v>100</v>
      </c>
      <c r="G341" s="18" t="s">
        <v>100</v>
      </c>
      <c r="H341" s="19">
        <v>52</v>
      </c>
      <c r="I341" s="19">
        <v>52</v>
      </c>
      <c r="J341" s="19">
        <v>0</v>
      </c>
    </row>
    <row r="342" spans="1:10" x14ac:dyDescent="0.25">
      <c r="A342" s="18">
        <v>1960</v>
      </c>
      <c r="B342" s="18" t="s">
        <v>69</v>
      </c>
      <c r="C342" s="18" t="s">
        <v>129</v>
      </c>
      <c r="D342" s="18" t="s">
        <v>108</v>
      </c>
      <c r="E342" s="18" t="s">
        <v>100</v>
      </c>
      <c r="F342" s="18" t="s">
        <v>100</v>
      </c>
      <c r="G342" s="18" t="s">
        <v>100</v>
      </c>
      <c r="H342" s="19">
        <v>1</v>
      </c>
      <c r="I342" s="19">
        <v>1</v>
      </c>
      <c r="J342" s="19">
        <v>0</v>
      </c>
    </row>
    <row r="343" spans="1:10" x14ac:dyDescent="0.25">
      <c r="A343" s="18">
        <v>1960</v>
      </c>
      <c r="B343" s="18" t="s">
        <v>69</v>
      </c>
      <c r="C343" s="18" t="s">
        <v>129</v>
      </c>
      <c r="D343" s="18" t="s">
        <v>108</v>
      </c>
      <c r="E343" s="18" t="s">
        <v>101</v>
      </c>
      <c r="F343" s="18" t="s">
        <v>100</v>
      </c>
      <c r="G343" s="18" t="s">
        <v>100</v>
      </c>
      <c r="H343" s="19">
        <v>2</v>
      </c>
      <c r="I343" s="19">
        <v>2</v>
      </c>
      <c r="J343" s="19">
        <v>0</v>
      </c>
    </row>
    <row r="344" spans="1:10" x14ac:dyDescent="0.25">
      <c r="A344" s="18">
        <v>1960</v>
      </c>
      <c r="B344" s="18" t="s">
        <v>69</v>
      </c>
      <c r="C344" s="18" t="s">
        <v>129</v>
      </c>
      <c r="D344" s="18" t="s">
        <v>106</v>
      </c>
      <c r="E344" s="18" t="s">
        <v>100</v>
      </c>
      <c r="F344" s="18" t="s">
        <v>100</v>
      </c>
      <c r="G344" s="18" t="s">
        <v>100</v>
      </c>
      <c r="H344" s="19">
        <v>26</v>
      </c>
      <c r="I344" s="19">
        <v>26</v>
      </c>
      <c r="J344" s="19">
        <v>0</v>
      </c>
    </row>
    <row r="345" spans="1:10" x14ac:dyDescent="0.25">
      <c r="A345" s="18">
        <v>1960</v>
      </c>
      <c r="B345" s="18" t="s">
        <v>69</v>
      </c>
      <c r="C345" s="18" t="s">
        <v>129</v>
      </c>
      <c r="D345" s="18" t="s">
        <v>106</v>
      </c>
      <c r="E345" s="18" t="s">
        <v>101</v>
      </c>
      <c r="F345" s="18" t="s">
        <v>100</v>
      </c>
      <c r="G345" s="18" t="s">
        <v>100</v>
      </c>
      <c r="H345" s="19">
        <v>52</v>
      </c>
      <c r="I345" s="19">
        <v>52</v>
      </c>
      <c r="J345" s="19">
        <v>0</v>
      </c>
    </row>
    <row r="346" spans="1:10" x14ac:dyDescent="0.25">
      <c r="A346" s="18">
        <v>1960</v>
      </c>
      <c r="B346" s="18" t="s">
        <v>69</v>
      </c>
      <c r="C346" s="18" t="s">
        <v>135</v>
      </c>
      <c r="D346" s="18" t="s">
        <v>108</v>
      </c>
      <c r="E346" s="18" t="s">
        <v>100</v>
      </c>
      <c r="F346" s="18" t="s">
        <v>100</v>
      </c>
      <c r="G346" s="18" t="s">
        <v>100</v>
      </c>
      <c r="H346" s="19">
        <v>1</v>
      </c>
      <c r="I346" s="19">
        <v>1</v>
      </c>
      <c r="J346" s="19">
        <v>0</v>
      </c>
    </row>
    <row r="347" spans="1:10" x14ac:dyDescent="0.25">
      <c r="A347" s="18">
        <v>1960</v>
      </c>
      <c r="B347" s="18" t="s">
        <v>69</v>
      </c>
      <c r="C347" s="18" t="s">
        <v>135</v>
      </c>
      <c r="D347" s="18" t="s">
        <v>108</v>
      </c>
      <c r="E347" s="18" t="s">
        <v>100</v>
      </c>
      <c r="F347" s="18" t="s">
        <v>101</v>
      </c>
      <c r="G347" s="18" t="s">
        <v>100</v>
      </c>
      <c r="H347" s="19">
        <v>2</v>
      </c>
      <c r="I347" s="19">
        <v>2</v>
      </c>
      <c r="J347" s="19">
        <v>0</v>
      </c>
    </row>
    <row r="348" spans="1:10" x14ac:dyDescent="0.25">
      <c r="A348" s="18">
        <v>1960</v>
      </c>
      <c r="B348" s="18" t="s">
        <v>69</v>
      </c>
      <c r="C348" s="18" t="s">
        <v>135</v>
      </c>
      <c r="D348" s="18" t="s">
        <v>108</v>
      </c>
      <c r="E348" s="18" t="s">
        <v>101</v>
      </c>
      <c r="F348" s="18" t="s">
        <v>100</v>
      </c>
      <c r="G348" s="18" t="s">
        <v>100</v>
      </c>
      <c r="H348" s="19">
        <v>2</v>
      </c>
      <c r="I348" s="19">
        <v>2</v>
      </c>
      <c r="J348" s="19">
        <v>0</v>
      </c>
    </row>
    <row r="349" spans="1:10" x14ac:dyDescent="0.25">
      <c r="A349" s="18">
        <v>1960</v>
      </c>
      <c r="B349" s="18" t="s">
        <v>69</v>
      </c>
      <c r="C349" s="18" t="s">
        <v>135</v>
      </c>
      <c r="D349" s="18" t="s">
        <v>108</v>
      </c>
      <c r="E349" s="18" t="s">
        <v>101</v>
      </c>
      <c r="F349" s="18" t="s">
        <v>101</v>
      </c>
      <c r="G349" s="18" t="s">
        <v>100</v>
      </c>
      <c r="H349" s="19">
        <v>4</v>
      </c>
      <c r="I349" s="19">
        <v>4</v>
      </c>
      <c r="J349" s="19">
        <v>0</v>
      </c>
    </row>
    <row r="350" spans="1:10" x14ac:dyDescent="0.25">
      <c r="A350" s="18">
        <v>1960</v>
      </c>
      <c r="B350" s="18" t="s">
        <v>69</v>
      </c>
      <c r="C350" s="18" t="s">
        <v>135</v>
      </c>
      <c r="D350" s="18" t="s">
        <v>106</v>
      </c>
      <c r="E350" s="18" t="s">
        <v>100</v>
      </c>
      <c r="F350" s="18" t="s">
        <v>100</v>
      </c>
      <c r="G350" s="18" t="s">
        <v>100</v>
      </c>
      <c r="H350" s="19">
        <v>26</v>
      </c>
      <c r="I350" s="19">
        <v>26</v>
      </c>
      <c r="J350" s="19">
        <v>0</v>
      </c>
    </row>
    <row r="351" spans="1:10" x14ac:dyDescent="0.25">
      <c r="A351" s="18">
        <v>1960</v>
      </c>
      <c r="B351" s="18" t="s">
        <v>69</v>
      </c>
      <c r="C351" s="18" t="s">
        <v>135</v>
      </c>
      <c r="D351" s="18" t="s">
        <v>106</v>
      </c>
      <c r="E351" s="18" t="s">
        <v>100</v>
      </c>
      <c r="F351" s="18" t="s">
        <v>101</v>
      </c>
      <c r="G351" s="18" t="s">
        <v>100</v>
      </c>
      <c r="H351" s="19">
        <v>52</v>
      </c>
      <c r="I351" s="19">
        <v>51</v>
      </c>
      <c r="J351" s="19">
        <v>0</v>
      </c>
    </row>
    <row r="352" spans="1:10" x14ac:dyDescent="0.25">
      <c r="A352" s="18">
        <v>1960</v>
      </c>
      <c r="B352" s="18" t="s">
        <v>69</v>
      </c>
      <c r="C352" s="18" t="s">
        <v>135</v>
      </c>
      <c r="D352" s="18" t="s">
        <v>106</v>
      </c>
      <c r="E352" s="18" t="s">
        <v>101</v>
      </c>
      <c r="F352" s="18" t="s">
        <v>100</v>
      </c>
      <c r="G352" s="18" t="s">
        <v>100</v>
      </c>
      <c r="H352" s="19">
        <v>51</v>
      </c>
      <c r="I352" s="19">
        <v>51</v>
      </c>
      <c r="J352" s="19">
        <v>0</v>
      </c>
    </row>
    <row r="353" spans="1:10" x14ac:dyDescent="0.25">
      <c r="A353" s="18">
        <v>1960</v>
      </c>
      <c r="B353" s="18" t="s">
        <v>69</v>
      </c>
      <c r="C353" s="18" t="s">
        <v>135</v>
      </c>
      <c r="D353" s="18" t="s">
        <v>106</v>
      </c>
      <c r="E353" s="18" t="s">
        <v>101</v>
      </c>
      <c r="F353" s="18" t="s">
        <v>101</v>
      </c>
      <c r="G353" s="18" t="s">
        <v>100</v>
      </c>
      <c r="H353" s="19">
        <v>102</v>
      </c>
      <c r="I353" s="19">
        <v>101</v>
      </c>
      <c r="J353" s="19">
        <v>0</v>
      </c>
    </row>
    <row r="354" spans="1:10" x14ac:dyDescent="0.25">
      <c r="A354" s="18">
        <v>1960</v>
      </c>
      <c r="B354" s="18" t="s">
        <v>69</v>
      </c>
      <c r="C354" s="18" t="s">
        <v>136</v>
      </c>
      <c r="D354" s="18" t="s">
        <v>108</v>
      </c>
      <c r="E354" s="18" t="s">
        <v>100</v>
      </c>
      <c r="F354" s="18" t="s">
        <v>100</v>
      </c>
      <c r="G354" s="18" t="s">
        <v>100</v>
      </c>
      <c r="H354" s="19">
        <v>1</v>
      </c>
      <c r="I354" s="19">
        <v>1</v>
      </c>
      <c r="J354" s="19">
        <v>0</v>
      </c>
    </row>
    <row r="355" spans="1:10" x14ac:dyDescent="0.25">
      <c r="A355" s="18">
        <v>1960</v>
      </c>
      <c r="B355" s="18" t="s">
        <v>69</v>
      </c>
      <c r="C355" s="18" t="s">
        <v>136</v>
      </c>
      <c r="D355" s="18" t="s">
        <v>108</v>
      </c>
      <c r="E355" s="18" t="s">
        <v>100</v>
      </c>
      <c r="F355" s="18" t="s">
        <v>100</v>
      </c>
      <c r="G355" s="18" t="s">
        <v>101</v>
      </c>
      <c r="H355" s="19">
        <v>16</v>
      </c>
      <c r="I355" s="19">
        <v>16</v>
      </c>
      <c r="J355" s="19">
        <v>0</v>
      </c>
    </row>
    <row r="356" spans="1:10" x14ac:dyDescent="0.25">
      <c r="A356" s="18">
        <v>1960</v>
      </c>
      <c r="B356" s="18" t="s">
        <v>69</v>
      </c>
      <c r="C356" s="18" t="s">
        <v>136</v>
      </c>
      <c r="D356" s="18" t="s">
        <v>106</v>
      </c>
      <c r="E356" s="18" t="s">
        <v>100</v>
      </c>
      <c r="F356" s="18" t="s">
        <v>100</v>
      </c>
      <c r="G356" s="18" t="s">
        <v>100</v>
      </c>
      <c r="H356" s="19">
        <v>26</v>
      </c>
      <c r="I356" s="19">
        <v>26</v>
      </c>
      <c r="J356" s="19">
        <v>0</v>
      </c>
    </row>
    <row r="357" spans="1:10" x14ac:dyDescent="0.25">
      <c r="A357" s="18">
        <v>1960</v>
      </c>
      <c r="B357" s="18" t="s">
        <v>69</v>
      </c>
      <c r="C357" s="18" t="s">
        <v>136</v>
      </c>
      <c r="D357" s="18" t="s">
        <v>106</v>
      </c>
      <c r="E357" s="18" t="s">
        <v>100</v>
      </c>
      <c r="F357" s="18" t="s">
        <v>100</v>
      </c>
      <c r="G357" s="18" t="s">
        <v>101</v>
      </c>
      <c r="H357" s="19">
        <v>416</v>
      </c>
      <c r="I357" s="19">
        <v>416</v>
      </c>
      <c r="J357" s="19">
        <v>0</v>
      </c>
    </row>
    <row r="358" spans="1:10" x14ac:dyDescent="0.25">
      <c r="A358" s="18">
        <v>1960</v>
      </c>
      <c r="B358" s="18" t="s">
        <v>69</v>
      </c>
      <c r="C358" s="18" t="s">
        <v>137</v>
      </c>
      <c r="D358" s="18" t="s">
        <v>108</v>
      </c>
      <c r="E358" s="18" t="s">
        <v>100</v>
      </c>
      <c r="F358" s="18" t="s">
        <v>100</v>
      </c>
      <c r="G358" s="18" t="s">
        <v>100</v>
      </c>
      <c r="H358" s="19">
        <v>1</v>
      </c>
      <c r="I358" s="19">
        <v>1</v>
      </c>
      <c r="J358" s="19">
        <v>0</v>
      </c>
    </row>
    <row r="359" spans="1:10" x14ac:dyDescent="0.25">
      <c r="A359" s="18">
        <v>1960</v>
      </c>
      <c r="B359" s="18" t="s">
        <v>69</v>
      </c>
      <c r="C359" s="18" t="s">
        <v>137</v>
      </c>
      <c r="D359" s="18" t="s">
        <v>108</v>
      </c>
      <c r="E359" s="18" t="s">
        <v>100</v>
      </c>
      <c r="F359" s="18" t="s">
        <v>100</v>
      </c>
      <c r="G359" s="18" t="s">
        <v>101</v>
      </c>
      <c r="H359" s="19">
        <v>112</v>
      </c>
      <c r="I359" s="19">
        <v>112</v>
      </c>
      <c r="J359" s="19">
        <v>0</v>
      </c>
    </row>
    <row r="360" spans="1:10" x14ac:dyDescent="0.25">
      <c r="A360" s="18">
        <v>1960</v>
      </c>
      <c r="B360" s="18" t="s">
        <v>69</v>
      </c>
      <c r="C360" s="18" t="s">
        <v>137</v>
      </c>
      <c r="D360" s="18" t="s">
        <v>108</v>
      </c>
      <c r="E360" s="18" t="s">
        <v>100</v>
      </c>
      <c r="F360" s="18" t="s">
        <v>101</v>
      </c>
      <c r="G360" s="18" t="s">
        <v>100</v>
      </c>
      <c r="H360" s="19">
        <v>2</v>
      </c>
      <c r="I360" s="19">
        <v>2</v>
      </c>
      <c r="J360" s="19">
        <v>0</v>
      </c>
    </row>
    <row r="361" spans="1:10" x14ac:dyDescent="0.25">
      <c r="A361" s="18">
        <v>1960</v>
      </c>
      <c r="B361" s="18" t="s">
        <v>69</v>
      </c>
      <c r="C361" s="18" t="s">
        <v>137</v>
      </c>
      <c r="D361" s="18" t="s">
        <v>108</v>
      </c>
      <c r="E361" s="18" t="s">
        <v>100</v>
      </c>
      <c r="F361" s="18" t="s">
        <v>101</v>
      </c>
      <c r="G361" s="18" t="s">
        <v>101</v>
      </c>
      <c r="H361" s="19">
        <v>224</v>
      </c>
      <c r="I361" s="19">
        <v>224</v>
      </c>
      <c r="J361" s="19">
        <v>0</v>
      </c>
    </row>
    <row r="362" spans="1:10" x14ac:dyDescent="0.25">
      <c r="A362" s="18">
        <v>1960</v>
      </c>
      <c r="B362" s="18" t="s">
        <v>69</v>
      </c>
      <c r="C362" s="18" t="s">
        <v>137</v>
      </c>
      <c r="D362" s="18" t="s">
        <v>108</v>
      </c>
      <c r="E362" s="18" t="s">
        <v>101</v>
      </c>
      <c r="F362" s="18" t="s">
        <v>100</v>
      </c>
      <c r="G362" s="18" t="s">
        <v>100</v>
      </c>
      <c r="H362" s="19">
        <v>2</v>
      </c>
      <c r="I362" s="19">
        <v>2</v>
      </c>
      <c r="J362" s="19">
        <v>0</v>
      </c>
    </row>
    <row r="363" spans="1:10" x14ac:dyDescent="0.25">
      <c r="A363" s="18">
        <v>1960</v>
      </c>
      <c r="B363" s="18" t="s">
        <v>69</v>
      </c>
      <c r="C363" s="18" t="s">
        <v>137</v>
      </c>
      <c r="D363" s="18" t="s">
        <v>108</v>
      </c>
      <c r="E363" s="18" t="s">
        <v>101</v>
      </c>
      <c r="F363" s="18" t="s">
        <v>100</v>
      </c>
      <c r="G363" s="18" t="s">
        <v>101</v>
      </c>
      <c r="H363" s="19">
        <v>224</v>
      </c>
      <c r="I363" s="19">
        <v>224</v>
      </c>
      <c r="J363" s="19">
        <v>0</v>
      </c>
    </row>
    <row r="364" spans="1:10" x14ac:dyDescent="0.25">
      <c r="A364" s="18">
        <v>1960</v>
      </c>
      <c r="B364" s="18" t="s">
        <v>69</v>
      </c>
      <c r="C364" s="18" t="s">
        <v>137</v>
      </c>
      <c r="D364" s="18" t="s">
        <v>108</v>
      </c>
      <c r="E364" s="18" t="s">
        <v>101</v>
      </c>
      <c r="F364" s="18" t="s">
        <v>101</v>
      </c>
      <c r="G364" s="18" t="s">
        <v>100</v>
      </c>
      <c r="H364" s="19">
        <v>4</v>
      </c>
      <c r="I364" s="19">
        <v>4</v>
      </c>
      <c r="J364" s="19">
        <v>0</v>
      </c>
    </row>
    <row r="365" spans="1:10" x14ac:dyDescent="0.25">
      <c r="A365" s="18">
        <v>1960</v>
      </c>
      <c r="B365" s="18" t="s">
        <v>69</v>
      </c>
      <c r="C365" s="18" t="s">
        <v>137</v>
      </c>
      <c r="D365" s="18" t="s">
        <v>108</v>
      </c>
      <c r="E365" s="18" t="s">
        <v>101</v>
      </c>
      <c r="F365" s="18" t="s">
        <v>101</v>
      </c>
      <c r="G365" s="18" t="s">
        <v>101</v>
      </c>
      <c r="H365" s="19">
        <v>448</v>
      </c>
      <c r="I365" s="19">
        <v>448</v>
      </c>
      <c r="J365" s="19">
        <v>0</v>
      </c>
    </row>
    <row r="366" spans="1:10" x14ac:dyDescent="0.25">
      <c r="A366" s="18">
        <v>1970</v>
      </c>
      <c r="B366" s="18" t="s">
        <v>72</v>
      </c>
      <c r="C366" s="18" t="s">
        <v>121</v>
      </c>
      <c r="D366" s="18" t="s">
        <v>108</v>
      </c>
      <c r="E366" s="18" t="s">
        <v>100</v>
      </c>
      <c r="F366" s="18" t="s">
        <v>100</v>
      </c>
      <c r="G366" s="18" t="s">
        <v>100</v>
      </c>
      <c r="H366" s="19">
        <v>1</v>
      </c>
      <c r="I366" s="19">
        <v>1</v>
      </c>
      <c r="J366" s="19">
        <v>0</v>
      </c>
    </row>
    <row r="367" spans="1:10" x14ac:dyDescent="0.25">
      <c r="A367" s="18">
        <v>1970</v>
      </c>
      <c r="B367" s="18" t="s">
        <v>72</v>
      </c>
      <c r="C367" s="18" t="s">
        <v>121</v>
      </c>
      <c r="D367" s="18" t="s">
        <v>108</v>
      </c>
      <c r="E367" s="18" t="s">
        <v>100</v>
      </c>
      <c r="F367" s="18" t="s">
        <v>100</v>
      </c>
      <c r="G367" s="18" t="s">
        <v>101</v>
      </c>
      <c r="H367" s="19">
        <v>103</v>
      </c>
      <c r="I367" s="19">
        <v>103</v>
      </c>
      <c r="J367" s="19">
        <v>0</v>
      </c>
    </row>
    <row r="368" spans="1:10" x14ac:dyDescent="0.25">
      <c r="A368" s="18">
        <v>1970</v>
      </c>
      <c r="B368" s="18" t="s">
        <v>72</v>
      </c>
      <c r="C368" s="18" t="s">
        <v>121</v>
      </c>
      <c r="D368" s="18" t="s">
        <v>108</v>
      </c>
      <c r="E368" s="18" t="s">
        <v>100</v>
      </c>
      <c r="F368" s="18" t="s">
        <v>101</v>
      </c>
      <c r="G368" s="18" t="s">
        <v>100</v>
      </c>
      <c r="H368" s="19">
        <v>2</v>
      </c>
      <c r="I368" s="19">
        <v>2</v>
      </c>
      <c r="J368" s="19">
        <v>0</v>
      </c>
    </row>
    <row r="369" spans="1:10" x14ac:dyDescent="0.25">
      <c r="A369" s="18">
        <v>1970</v>
      </c>
      <c r="B369" s="18" t="s">
        <v>72</v>
      </c>
      <c r="C369" s="18" t="s">
        <v>121</v>
      </c>
      <c r="D369" s="18" t="s">
        <v>108</v>
      </c>
      <c r="E369" s="18" t="s">
        <v>100</v>
      </c>
      <c r="F369" s="18" t="s">
        <v>101</v>
      </c>
      <c r="G369" s="18" t="s">
        <v>101</v>
      </c>
      <c r="H369" s="19">
        <v>206</v>
      </c>
      <c r="I369" s="19">
        <v>206</v>
      </c>
      <c r="J369" s="19">
        <v>0</v>
      </c>
    </row>
    <row r="370" spans="1:10" x14ac:dyDescent="0.25">
      <c r="A370" s="18">
        <v>1970</v>
      </c>
      <c r="B370" s="18" t="s">
        <v>72</v>
      </c>
      <c r="C370" s="18" t="s">
        <v>121</v>
      </c>
      <c r="D370" s="18" t="s">
        <v>108</v>
      </c>
      <c r="E370" s="18" t="s">
        <v>101</v>
      </c>
      <c r="F370" s="18" t="s">
        <v>100</v>
      </c>
      <c r="G370" s="18" t="s">
        <v>100</v>
      </c>
      <c r="H370" s="19">
        <v>2</v>
      </c>
      <c r="I370" s="19">
        <v>2</v>
      </c>
      <c r="J370" s="19">
        <v>0</v>
      </c>
    </row>
    <row r="371" spans="1:10" x14ac:dyDescent="0.25">
      <c r="A371" s="18">
        <v>1970</v>
      </c>
      <c r="B371" s="18" t="s">
        <v>72</v>
      </c>
      <c r="C371" s="18" t="s">
        <v>121</v>
      </c>
      <c r="D371" s="18" t="s">
        <v>108</v>
      </c>
      <c r="E371" s="18" t="s">
        <v>101</v>
      </c>
      <c r="F371" s="18" t="s">
        <v>100</v>
      </c>
      <c r="G371" s="18" t="s">
        <v>101</v>
      </c>
      <c r="H371" s="19">
        <v>206</v>
      </c>
      <c r="I371" s="19">
        <v>206</v>
      </c>
      <c r="J371" s="19">
        <v>0</v>
      </c>
    </row>
    <row r="372" spans="1:10" x14ac:dyDescent="0.25">
      <c r="A372" s="18">
        <v>1970</v>
      </c>
      <c r="B372" s="18" t="s">
        <v>72</v>
      </c>
      <c r="C372" s="18" t="s">
        <v>121</v>
      </c>
      <c r="D372" s="18" t="s">
        <v>108</v>
      </c>
      <c r="E372" s="18" t="s">
        <v>101</v>
      </c>
      <c r="F372" s="18" t="s">
        <v>101</v>
      </c>
      <c r="G372" s="18" t="s">
        <v>100</v>
      </c>
      <c r="H372" s="19">
        <v>4</v>
      </c>
      <c r="I372" s="19">
        <v>4</v>
      </c>
      <c r="J372" s="19">
        <v>0</v>
      </c>
    </row>
    <row r="373" spans="1:10" x14ac:dyDescent="0.25">
      <c r="A373" s="18">
        <v>1970</v>
      </c>
      <c r="B373" s="18" t="s">
        <v>72</v>
      </c>
      <c r="C373" s="18" t="s">
        <v>121</v>
      </c>
      <c r="D373" s="18" t="s">
        <v>108</v>
      </c>
      <c r="E373" s="18" t="s">
        <v>101</v>
      </c>
      <c r="F373" s="18" t="s">
        <v>101</v>
      </c>
      <c r="G373" s="18" t="s">
        <v>101</v>
      </c>
      <c r="H373" s="19">
        <v>412</v>
      </c>
      <c r="I373" s="19">
        <v>412</v>
      </c>
      <c r="J373" s="19">
        <v>0</v>
      </c>
    </row>
    <row r="374" spans="1:10" x14ac:dyDescent="0.25">
      <c r="A374" s="18">
        <v>1970</v>
      </c>
      <c r="B374" s="18" t="s">
        <v>72</v>
      </c>
      <c r="C374" s="18" t="s">
        <v>113</v>
      </c>
      <c r="D374" s="18" t="s">
        <v>108</v>
      </c>
      <c r="E374" s="18" t="s">
        <v>100</v>
      </c>
      <c r="F374" s="18" t="s">
        <v>100</v>
      </c>
      <c r="G374" s="18" t="s">
        <v>100</v>
      </c>
      <c r="H374" s="19">
        <v>1</v>
      </c>
      <c r="I374" s="19">
        <v>1</v>
      </c>
      <c r="J374" s="19">
        <v>0</v>
      </c>
    </row>
    <row r="375" spans="1:10" x14ac:dyDescent="0.25">
      <c r="A375" s="18">
        <v>1970</v>
      </c>
      <c r="B375" s="18" t="s">
        <v>72</v>
      </c>
      <c r="C375" s="18" t="s">
        <v>113</v>
      </c>
      <c r="D375" s="18" t="s">
        <v>106</v>
      </c>
      <c r="E375" s="18" t="s">
        <v>100</v>
      </c>
      <c r="F375" s="18" t="s">
        <v>100</v>
      </c>
      <c r="G375" s="18" t="s">
        <v>100</v>
      </c>
      <c r="H375" s="19">
        <v>25</v>
      </c>
      <c r="I375" s="19">
        <v>25</v>
      </c>
      <c r="J375" s="19">
        <v>0</v>
      </c>
    </row>
    <row r="376" spans="1:10" x14ac:dyDescent="0.25">
      <c r="A376" s="18">
        <v>1982</v>
      </c>
      <c r="B376" s="18" t="s">
        <v>138</v>
      </c>
      <c r="C376" s="18" t="s">
        <v>139</v>
      </c>
      <c r="D376" s="18" t="s">
        <v>125</v>
      </c>
      <c r="E376" s="18" t="s">
        <v>100</v>
      </c>
      <c r="F376" s="18" t="s">
        <v>100</v>
      </c>
      <c r="G376" s="18" t="s">
        <v>100</v>
      </c>
      <c r="H376" s="19">
        <v>335</v>
      </c>
      <c r="I376" s="19">
        <v>335</v>
      </c>
      <c r="J376" s="19">
        <v>0</v>
      </c>
    </row>
    <row r="377" spans="1:10" x14ac:dyDescent="0.25">
      <c r="A377" s="18">
        <v>1982</v>
      </c>
      <c r="B377" s="18" t="s">
        <v>138</v>
      </c>
      <c r="C377" s="18" t="s">
        <v>139</v>
      </c>
      <c r="D377" s="18" t="s">
        <v>125</v>
      </c>
      <c r="E377" s="18" t="s">
        <v>100</v>
      </c>
      <c r="F377" s="18" t="s">
        <v>101</v>
      </c>
      <c r="G377" s="18" t="s">
        <v>100</v>
      </c>
      <c r="H377" s="19">
        <v>670</v>
      </c>
      <c r="I377" s="19">
        <v>669</v>
      </c>
      <c r="J377" s="19">
        <v>0</v>
      </c>
    </row>
    <row r="378" spans="1:10" x14ac:dyDescent="0.25">
      <c r="A378" s="18">
        <v>1982</v>
      </c>
      <c r="B378" s="18" t="s">
        <v>138</v>
      </c>
      <c r="C378" s="18" t="s">
        <v>139</v>
      </c>
      <c r="D378" s="18" t="s">
        <v>125</v>
      </c>
      <c r="E378" s="18" t="s">
        <v>101</v>
      </c>
      <c r="F378" s="18" t="s">
        <v>100</v>
      </c>
      <c r="G378" s="18" t="s">
        <v>100</v>
      </c>
      <c r="H378" s="19">
        <v>637</v>
      </c>
      <c r="I378" s="19">
        <v>637</v>
      </c>
      <c r="J378" s="19">
        <v>0</v>
      </c>
    </row>
    <row r="379" spans="1:10" x14ac:dyDescent="0.25">
      <c r="A379" s="18">
        <v>1982</v>
      </c>
      <c r="B379" s="18" t="s">
        <v>138</v>
      </c>
      <c r="C379" s="18" t="s">
        <v>139</v>
      </c>
      <c r="D379" s="18" t="s">
        <v>125</v>
      </c>
      <c r="E379" s="18" t="s">
        <v>101</v>
      </c>
      <c r="F379" s="18" t="s">
        <v>101</v>
      </c>
      <c r="G379" s="18" t="s">
        <v>100</v>
      </c>
      <c r="H379" s="19">
        <v>1274</v>
      </c>
      <c r="I379" s="19">
        <v>1273</v>
      </c>
      <c r="J379" s="19">
        <v>0</v>
      </c>
    </row>
    <row r="380" spans="1:10" x14ac:dyDescent="0.25">
      <c r="A380" s="18">
        <v>1982</v>
      </c>
      <c r="B380" s="18" t="s">
        <v>138</v>
      </c>
      <c r="C380" s="18" t="s">
        <v>139</v>
      </c>
      <c r="D380" s="18" t="s">
        <v>108</v>
      </c>
      <c r="E380" s="18" t="s">
        <v>100</v>
      </c>
      <c r="F380" s="18" t="s">
        <v>100</v>
      </c>
      <c r="G380" s="18" t="s">
        <v>100</v>
      </c>
      <c r="H380" s="19">
        <v>1</v>
      </c>
      <c r="I380" s="19">
        <v>1</v>
      </c>
      <c r="J380" s="19">
        <v>0</v>
      </c>
    </row>
    <row r="381" spans="1:10" x14ac:dyDescent="0.25">
      <c r="A381" s="18">
        <v>1982</v>
      </c>
      <c r="B381" s="18" t="s">
        <v>138</v>
      </c>
      <c r="C381" s="18" t="s">
        <v>139</v>
      </c>
      <c r="D381" s="18" t="s">
        <v>108</v>
      </c>
      <c r="E381" s="18" t="s">
        <v>100</v>
      </c>
      <c r="F381" s="18" t="s">
        <v>101</v>
      </c>
      <c r="G381" s="18" t="s">
        <v>100</v>
      </c>
      <c r="H381" s="19">
        <v>2</v>
      </c>
      <c r="I381" s="19">
        <v>2</v>
      </c>
      <c r="J381" s="19">
        <v>0</v>
      </c>
    </row>
    <row r="382" spans="1:10" x14ac:dyDescent="0.25">
      <c r="A382" s="18">
        <v>1982</v>
      </c>
      <c r="B382" s="18" t="s">
        <v>138</v>
      </c>
      <c r="C382" s="18" t="s">
        <v>139</v>
      </c>
      <c r="D382" s="18" t="s">
        <v>108</v>
      </c>
      <c r="E382" s="18" t="s">
        <v>101</v>
      </c>
      <c r="F382" s="18" t="s">
        <v>100</v>
      </c>
      <c r="G382" s="18" t="s">
        <v>100</v>
      </c>
      <c r="H382" s="19">
        <v>2</v>
      </c>
      <c r="I382" s="19">
        <v>2</v>
      </c>
      <c r="J382" s="19">
        <v>0</v>
      </c>
    </row>
    <row r="383" spans="1:10" x14ac:dyDescent="0.25">
      <c r="A383" s="18">
        <v>1982</v>
      </c>
      <c r="B383" s="18" t="s">
        <v>138</v>
      </c>
      <c r="C383" s="18" t="s">
        <v>139</v>
      </c>
      <c r="D383" s="18" t="s">
        <v>108</v>
      </c>
      <c r="E383" s="18" t="s">
        <v>101</v>
      </c>
      <c r="F383" s="18" t="s">
        <v>101</v>
      </c>
      <c r="G383" s="18" t="s">
        <v>100</v>
      </c>
      <c r="H383" s="19">
        <v>4</v>
      </c>
      <c r="I383" s="19">
        <v>4</v>
      </c>
      <c r="J383" s="19">
        <v>0</v>
      </c>
    </row>
    <row r="384" spans="1:10" x14ac:dyDescent="0.25">
      <c r="A384" s="18">
        <v>1982</v>
      </c>
      <c r="B384" s="18" t="s">
        <v>138</v>
      </c>
      <c r="C384" s="18" t="s">
        <v>139</v>
      </c>
      <c r="D384" s="18" t="s">
        <v>106</v>
      </c>
      <c r="E384" s="18" t="s">
        <v>100</v>
      </c>
      <c r="F384" s="18" t="s">
        <v>100</v>
      </c>
      <c r="G384" s="18" t="s">
        <v>100</v>
      </c>
      <c r="H384" s="19">
        <v>51</v>
      </c>
      <c r="I384" s="19">
        <v>51</v>
      </c>
      <c r="J384" s="19">
        <v>0</v>
      </c>
    </row>
    <row r="385" spans="1:10" x14ac:dyDescent="0.25">
      <c r="A385" s="18">
        <v>1982</v>
      </c>
      <c r="B385" s="18" t="s">
        <v>138</v>
      </c>
      <c r="C385" s="18" t="s">
        <v>139</v>
      </c>
      <c r="D385" s="18" t="s">
        <v>106</v>
      </c>
      <c r="E385" s="18" t="s">
        <v>100</v>
      </c>
      <c r="F385" s="18" t="s">
        <v>101</v>
      </c>
      <c r="G385" s="18" t="s">
        <v>100</v>
      </c>
      <c r="H385" s="19">
        <v>102</v>
      </c>
      <c r="I385" s="19">
        <v>102</v>
      </c>
      <c r="J385" s="19">
        <v>0</v>
      </c>
    </row>
    <row r="386" spans="1:10" x14ac:dyDescent="0.25">
      <c r="A386" s="18">
        <v>1982</v>
      </c>
      <c r="B386" s="18" t="s">
        <v>138</v>
      </c>
      <c r="C386" s="18" t="s">
        <v>139</v>
      </c>
      <c r="D386" s="18" t="s">
        <v>106</v>
      </c>
      <c r="E386" s="18" t="s">
        <v>101</v>
      </c>
      <c r="F386" s="18" t="s">
        <v>100</v>
      </c>
      <c r="G386" s="18" t="s">
        <v>100</v>
      </c>
      <c r="H386" s="19">
        <v>101</v>
      </c>
      <c r="I386" s="19">
        <v>101</v>
      </c>
      <c r="J386" s="19">
        <v>0</v>
      </c>
    </row>
    <row r="387" spans="1:10" x14ac:dyDescent="0.25">
      <c r="A387" s="18">
        <v>1982</v>
      </c>
      <c r="B387" s="18" t="s">
        <v>138</v>
      </c>
      <c r="C387" s="18" t="s">
        <v>139</v>
      </c>
      <c r="D387" s="18" t="s">
        <v>106</v>
      </c>
      <c r="E387" s="18" t="s">
        <v>101</v>
      </c>
      <c r="F387" s="18" t="s">
        <v>101</v>
      </c>
      <c r="G387" s="18" t="s">
        <v>100</v>
      </c>
      <c r="H387" s="19">
        <v>202</v>
      </c>
      <c r="I387" s="19">
        <v>202</v>
      </c>
      <c r="J387" s="19">
        <v>0</v>
      </c>
    </row>
    <row r="388" spans="1:10" x14ac:dyDescent="0.25">
      <c r="A388" s="18">
        <v>1982</v>
      </c>
      <c r="B388" s="18" t="s">
        <v>138</v>
      </c>
      <c r="C388" s="18" t="s">
        <v>139</v>
      </c>
      <c r="D388" s="18" t="s">
        <v>140</v>
      </c>
      <c r="E388" s="18" t="s">
        <v>100</v>
      </c>
      <c r="F388" s="18" t="s">
        <v>100</v>
      </c>
      <c r="G388" s="18" t="s">
        <v>100</v>
      </c>
      <c r="H388" s="19">
        <v>13</v>
      </c>
      <c r="I388" s="19">
        <v>13</v>
      </c>
      <c r="J388" s="19">
        <v>0</v>
      </c>
    </row>
    <row r="389" spans="1:10" x14ac:dyDescent="0.25">
      <c r="A389" s="18">
        <v>1982</v>
      </c>
      <c r="B389" s="18" t="s">
        <v>138</v>
      </c>
      <c r="C389" s="18" t="s">
        <v>139</v>
      </c>
      <c r="D389" s="18" t="s">
        <v>140</v>
      </c>
      <c r="E389" s="18" t="s">
        <v>100</v>
      </c>
      <c r="F389" s="18" t="s">
        <v>101</v>
      </c>
      <c r="G389" s="18" t="s">
        <v>100</v>
      </c>
      <c r="H389" s="19">
        <v>26</v>
      </c>
      <c r="I389" s="19">
        <v>26</v>
      </c>
      <c r="J389" s="19">
        <v>0</v>
      </c>
    </row>
    <row r="390" spans="1:10" x14ac:dyDescent="0.25">
      <c r="A390" s="18">
        <v>1982</v>
      </c>
      <c r="B390" s="18" t="s">
        <v>138</v>
      </c>
      <c r="C390" s="18" t="s">
        <v>139</v>
      </c>
      <c r="D390" s="18" t="s">
        <v>140</v>
      </c>
      <c r="E390" s="18" t="s">
        <v>101</v>
      </c>
      <c r="F390" s="18" t="s">
        <v>100</v>
      </c>
      <c r="G390" s="18" t="s">
        <v>100</v>
      </c>
      <c r="H390" s="19">
        <v>26</v>
      </c>
      <c r="I390" s="19">
        <v>26</v>
      </c>
      <c r="J390" s="19">
        <v>0</v>
      </c>
    </row>
    <row r="391" spans="1:10" x14ac:dyDescent="0.25">
      <c r="A391" s="18">
        <v>1982</v>
      </c>
      <c r="B391" s="18" t="s">
        <v>138</v>
      </c>
      <c r="C391" s="18" t="s">
        <v>139</v>
      </c>
      <c r="D391" s="18" t="s">
        <v>140</v>
      </c>
      <c r="E391" s="18" t="s">
        <v>101</v>
      </c>
      <c r="F391" s="18" t="s">
        <v>101</v>
      </c>
      <c r="G391" s="18" t="s">
        <v>100</v>
      </c>
      <c r="H391" s="19">
        <v>52</v>
      </c>
      <c r="I391" s="19">
        <v>52</v>
      </c>
      <c r="J391" s="19">
        <v>0</v>
      </c>
    </row>
    <row r="392" spans="1:10" x14ac:dyDescent="0.25">
      <c r="A392" s="18">
        <v>1982</v>
      </c>
      <c r="B392" s="18" t="s">
        <v>138</v>
      </c>
      <c r="C392" s="18" t="s">
        <v>141</v>
      </c>
      <c r="D392" s="18" t="s">
        <v>108</v>
      </c>
      <c r="E392" s="18" t="s">
        <v>100</v>
      </c>
      <c r="F392" s="18" t="s">
        <v>100</v>
      </c>
      <c r="G392" s="18" t="s">
        <v>100</v>
      </c>
      <c r="H392" s="19">
        <v>1</v>
      </c>
      <c r="I392" s="19">
        <v>1</v>
      </c>
      <c r="J392" s="19">
        <v>0</v>
      </c>
    </row>
    <row r="393" spans="1:10" x14ac:dyDescent="0.25">
      <c r="A393" s="18">
        <v>1982</v>
      </c>
      <c r="B393" s="18" t="s">
        <v>138</v>
      </c>
      <c r="C393" s="18" t="s">
        <v>141</v>
      </c>
      <c r="D393" s="18" t="s">
        <v>108</v>
      </c>
      <c r="E393" s="18" t="s">
        <v>100</v>
      </c>
      <c r="F393" s="18" t="s">
        <v>100</v>
      </c>
      <c r="G393" s="18" t="s">
        <v>101</v>
      </c>
      <c r="H393" s="19">
        <v>120</v>
      </c>
      <c r="I393" s="19">
        <v>120</v>
      </c>
      <c r="J393" s="19">
        <v>0</v>
      </c>
    </row>
    <row r="394" spans="1:10" x14ac:dyDescent="0.25">
      <c r="A394" s="18">
        <v>1982</v>
      </c>
      <c r="B394" s="18" t="s">
        <v>138</v>
      </c>
      <c r="C394" s="18" t="s">
        <v>141</v>
      </c>
      <c r="D394" s="18" t="s">
        <v>108</v>
      </c>
      <c r="E394" s="18" t="s">
        <v>100</v>
      </c>
      <c r="F394" s="18" t="s">
        <v>101</v>
      </c>
      <c r="G394" s="18" t="s">
        <v>100</v>
      </c>
      <c r="H394" s="19">
        <v>2</v>
      </c>
      <c r="I394" s="19">
        <v>2</v>
      </c>
      <c r="J394" s="19">
        <v>0</v>
      </c>
    </row>
    <row r="395" spans="1:10" x14ac:dyDescent="0.25">
      <c r="A395" s="18">
        <v>1982</v>
      </c>
      <c r="B395" s="18" t="s">
        <v>138</v>
      </c>
      <c r="C395" s="18" t="s">
        <v>141</v>
      </c>
      <c r="D395" s="18" t="s">
        <v>108</v>
      </c>
      <c r="E395" s="18" t="s">
        <v>100</v>
      </c>
      <c r="F395" s="18" t="s">
        <v>101</v>
      </c>
      <c r="G395" s="18" t="s">
        <v>101</v>
      </c>
      <c r="H395" s="19">
        <v>240</v>
      </c>
      <c r="I395" s="19">
        <v>240</v>
      </c>
      <c r="J395" s="19">
        <v>0</v>
      </c>
    </row>
    <row r="396" spans="1:10" x14ac:dyDescent="0.25">
      <c r="A396" s="18">
        <v>1982</v>
      </c>
      <c r="B396" s="18" t="s">
        <v>138</v>
      </c>
      <c r="C396" s="18" t="s">
        <v>141</v>
      </c>
      <c r="D396" s="18" t="s">
        <v>108</v>
      </c>
      <c r="E396" s="18" t="s">
        <v>101</v>
      </c>
      <c r="F396" s="18" t="s">
        <v>100</v>
      </c>
      <c r="G396" s="18" t="s">
        <v>100</v>
      </c>
      <c r="H396" s="19">
        <v>2</v>
      </c>
      <c r="I396" s="19">
        <v>2</v>
      </c>
      <c r="J396" s="19">
        <v>0</v>
      </c>
    </row>
    <row r="397" spans="1:10" x14ac:dyDescent="0.25">
      <c r="A397" s="18">
        <v>1982</v>
      </c>
      <c r="B397" s="18" t="s">
        <v>138</v>
      </c>
      <c r="C397" s="18" t="s">
        <v>141</v>
      </c>
      <c r="D397" s="18" t="s">
        <v>108</v>
      </c>
      <c r="E397" s="18" t="s">
        <v>101</v>
      </c>
      <c r="F397" s="18" t="s">
        <v>100</v>
      </c>
      <c r="G397" s="18" t="s">
        <v>101</v>
      </c>
      <c r="H397" s="19">
        <v>240</v>
      </c>
      <c r="I397" s="19">
        <v>240</v>
      </c>
      <c r="J397" s="19">
        <v>0</v>
      </c>
    </row>
    <row r="398" spans="1:10" x14ac:dyDescent="0.25">
      <c r="A398" s="18">
        <v>1982</v>
      </c>
      <c r="B398" s="18" t="s">
        <v>138</v>
      </c>
      <c r="C398" s="18" t="s">
        <v>141</v>
      </c>
      <c r="D398" s="18" t="s">
        <v>108</v>
      </c>
      <c r="E398" s="18" t="s">
        <v>101</v>
      </c>
      <c r="F398" s="18" t="s">
        <v>101</v>
      </c>
      <c r="G398" s="18" t="s">
        <v>100</v>
      </c>
      <c r="H398" s="19">
        <v>4</v>
      </c>
      <c r="I398" s="19">
        <v>4</v>
      </c>
      <c r="J398" s="19">
        <v>0</v>
      </c>
    </row>
    <row r="399" spans="1:10" x14ac:dyDescent="0.25">
      <c r="A399" s="18">
        <v>1982</v>
      </c>
      <c r="B399" s="18" t="s">
        <v>138</v>
      </c>
      <c r="C399" s="18" t="s">
        <v>141</v>
      </c>
      <c r="D399" s="18" t="s">
        <v>108</v>
      </c>
      <c r="E399" s="18" t="s">
        <v>101</v>
      </c>
      <c r="F399" s="18" t="s">
        <v>101</v>
      </c>
      <c r="G399" s="18" t="s">
        <v>101</v>
      </c>
      <c r="H399" s="19">
        <v>480</v>
      </c>
      <c r="I399" s="19">
        <v>480</v>
      </c>
      <c r="J399" s="19">
        <v>0</v>
      </c>
    </row>
  </sheetData>
  <autoFilter ref="A1:J399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48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2" width="8" customWidth="1"/>
    <col min="3" max="3" width="30" customWidth="1"/>
    <col min="4" max="4" width="8" customWidth="1"/>
    <col min="5" max="5" width="70" customWidth="1"/>
    <col min="6" max="6" width="9" customWidth="1"/>
    <col min="7" max="8" width="10" customWidth="1"/>
    <col min="9" max="9" width="12" customWidth="1"/>
    <col min="10" max="10" width="24" customWidth="1"/>
    <col min="11" max="12" width="14" customWidth="1"/>
    <col min="13" max="13" width="11" customWidth="1"/>
    <col min="14" max="14" width="13" customWidth="1"/>
    <col min="15" max="15" width="11" customWidth="1"/>
    <col min="16" max="16" width="60" customWidth="1"/>
    <col min="17" max="17" width="11" customWidth="1"/>
  </cols>
  <sheetData>
    <row r="1" spans="1:17" ht="42" customHeight="1" x14ac:dyDescent="0.25">
      <c r="A1" s="3" t="s">
        <v>142</v>
      </c>
      <c r="B1" s="3" t="s">
        <v>143</v>
      </c>
      <c r="C1" s="3" t="s">
        <v>144</v>
      </c>
      <c r="D1" s="3" t="s">
        <v>145</v>
      </c>
      <c r="E1" s="3" t="s">
        <v>146</v>
      </c>
      <c r="F1" s="3" t="s">
        <v>147</v>
      </c>
      <c r="G1" s="3" t="s">
        <v>148</v>
      </c>
      <c r="H1" s="3" t="s">
        <v>149</v>
      </c>
      <c r="I1" s="3" t="s">
        <v>150</v>
      </c>
      <c r="J1" s="3" t="s">
        <v>151</v>
      </c>
      <c r="K1" s="3" t="s">
        <v>152</v>
      </c>
      <c r="L1" s="3" t="s">
        <v>153</v>
      </c>
      <c r="M1" s="3" t="s">
        <v>154</v>
      </c>
      <c r="N1" s="3" t="s">
        <v>155</v>
      </c>
      <c r="O1" s="3" t="s">
        <v>156</v>
      </c>
      <c r="P1" s="3" t="s">
        <v>157</v>
      </c>
      <c r="Q1" s="3" t="s">
        <v>158</v>
      </c>
    </row>
    <row r="2" spans="1:17" x14ac:dyDescent="0.25">
      <c r="A2" s="18" t="s">
        <v>26</v>
      </c>
      <c r="B2" s="18">
        <v>1813</v>
      </c>
      <c r="C2" s="18" t="s">
        <v>159</v>
      </c>
      <c r="D2" s="18"/>
      <c r="E2" s="18" t="s">
        <v>160</v>
      </c>
      <c r="F2" s="18" t="s">
        <v>161</v>
      </c>
      <c r="G2" s="18"/>
      <c r="H2" s="18">
        <v>4</v>
      </c>
      <c r="I2" s="18" t="s">
        <v>162</v>
      </c>
      <c r="J2" s="18"/>
      <c r="K2" s="18"/>
      <c r="L2" s="18"/>
      <c r="M2" s="18"/>
      <c r="N2" s="18"/>
      <c r="O2" s="18" t="s">
        <v>163</v>
      </c>
      <c r="P2" s="18" t="s">
        <v>164</v>
      </c>
      <c r="Q2" s="18" t="str">
        <f>IFERROR(MATCH(K2,Niveles!$B$2:$B$10,0),"")</f>
        <v/>
      </c>
    </row>
    <row r="3" spans="1:17" x14ac:dyDescent="0.25">
      <c r="A3" s="18" t="s">
        <v>26</v>
      </c>
      <c r="B3" s="18">
        <v>1813</v>
      </c>
      <c r="C3" s="18" t="s">
        <v>159</v>
      </c>
      <c r="D3" s="18"/>
      <c r="E3" s="18" t="s">
        <v>165</v>
      </c>
      <c r="F3" s="18" t="s">
        <v>161</v>
      </c>
      <c r="G3" s="18"/>
      <c r="H3" s="18">
        <v>18</v>
      </c>
      <c r="I3" s="18" t="s">
        <v>162</v>
      </c>
      <c r="J3" s="18"/>
      <c r="K3" s="18"/>
      <c r="L3" s="18"/>
      <c r="M3" s="18"/>
      <c r="N3" s="18"/>
      <c r="O3" s="18" t="s">
        <v>163</v>
      </c>
      <c r="P3" s="18" t="s">
        <v>166</v>
      </c>
      <c r="Q3" s="18" t="str">
        <f>IFERROR(MATCH(K3,Niveles!$B$2:$B$10,0),"")</f>
        <v/>
      </c>
    </row>
    <row r="4" spans="1:17" x14ac:dyDescent="0.25">
      <c r="A4" s="18" t="s">
        <v>26</v>
      </c>
      <c r="B4" s="18">
        <v>1813</v>
      </c>
      <c r="C4" s="18" t="s">
        <v>167</v>
      </c>
      <c r="D4" s="18"/>
      <c r="E4" s="18" t="s">
        <v>168</v>
      </c>
      <c r="F4" s="18" t="s">
        <v>169</v>
      </c>
      <c r="G4" s="18"/>
      <c r="H4" s="18">
        <v>33</v>
      </c>
      <c r="I4" s="18" t="s">
        <v>162</v>
      </c>
      <c r="J4" s="18" t="s">
        <v>170</v>
      </c>
      <c r="K4" s="18" t="s">
        <v>103</v>
      </c>
      <c r="L4" s="18" t="s">
        <v>171</v>
      </c>
      <c r="M4" s="18" t="s">
        <v>172</v>
      </c>
      <c r="N4" s="18" t="s">
        <v>162</v>
      </c>
      <c r="O4" s="18" t="s">
        <v>163</v>
      </c>
      <c r="P4" s="18" t="s">
        <v>173</v>
      </c>
      <c r="Q4" s="18">
        <f>IFERROR(MATCH(K4,Niveles!$B$2:$B$10,0),"")</f>
        <v>2</v>
      </c>
    </row>
    <row r="5" spans="1:17" x14ac:dyDescent="0.25">
      <c r="A5" s="18" t="s">
        <v>26</v>
      </c>
      <c r="B5" s="18">
        <v>1813</v>
      </c>
      <c r="C5" s="18" t="s">
        <v>167</v>
      </c>
      <c r="D5" s="18"/>
      <c r="E5" s="18" t="s">
        <v>174</v>
      </c>
      <c r="F5" s="18" t="s">
        <v>145</v>
      </c>
      <c r="G5" s="18"/>
      <c r="H5" s="18">
        <v>62</v>
      </c>
      <c r="I5" s="18" t="s">
        <v>162</v>
      </c>
      <c r="J5" s="18" t="s">
        <v>170</v>
      </c>
      <c r="K5" s="18" t="s">
        <v>105</v>
      </c>
      <c r="L5" s="18" t="s">
        <v>171</v>
      </c>
      <c r="M5" s="18" t="s">
        <v>172</v>
      </c>
      <c r="N5" s="18" t="s">
        <v>162</v>
      </c>
      <c r="O5" s="18" t="s">
        <v>175</v>
      </c>
      <c r="P5" s="18" t="s">
        <v>176</v>
      </c>
      <c r="Q5" s="18">
        <f>IFERROR(MATCH(K5,Niveles!$B$2:$B$10,0),"")</f>
        <v>6</v>
      </c>
    </row>
    <row r="6" spans="1:17" x14ac:dyDescent="0.25">
      <c r="A6" s="18" t="s">
        <v>26</v>
      </c>
      <c r="B6" s="18">
        <v>1813</v>
      </c>
      <c r="C6" s="18" t="s">
        <v>177</v>
      </c>
      <c r="D6" s="18"/>
      <c r="E6" s="18" t="s">
        <v>178</v>
      </c>
      <c r="F6" s="18" t="s">
        <v>169</v>
      </c>
      <c r="G6" s="18"/>
      <c r="H6" s="18">
        <v>63</v>
      </c>
      <c r="I6" s="18" t="s">
        <v>162</v>
      </c>
      <c r="J6" s="18" t="s">
        <v>170</v>
      </c>
      <c r="K6" s="18" t="s">
        <v>103</v>
      </c>
      <c r="L6" s="18" t="s">
        <v>171</v>
      </c>
      <c r="M6" s="18" t="s">
        <v>172</v>
      </c>
      <c r="N6" s="18" t="s">
        <v>162</v>
      </c>
      <c r="O6" s="18" t="s">
        <v>163</v>
      </c>
      <c r="P6" s="18" t="s">
        <v>179</v>
      </c>
      <c r="Q6" s="18">
        <f>IFERROR(MATCH(K6,Niveles!$B$2:$B$10,0),"")</f>
        <v>2</v>
      </c>
    </row>
    <row r="7" spans="1:17" x14ac:dyDescent="0.25">
      <c r="A7" s="18" t="s">
        <v>26</v>
      </c>
      <c r="B7" s="18">
        <v>1813</v>
      </c>
      <c r="C7" s="18" t="s">
        <v>177</v>
      </c>
      <c r="D7" s="18"/>
      <c r="E7" s="18" t="s">
        <v>180</v>
      </c>
      <c r="F7" s="18" t="s">
        <v>145</v>
      </c>
      <c r="G7" s="18"/>
      <c r="H7" s="18">
        <v>64</v>
      </c>
      <c r="I7" s="18" t="s">
        <v>162</v>
      </c>
      <c r="J7" s="18" t="s">
        <v>170</v>
      </c>
      <c r="K7" s="18" t="s">
        <v>105</v>
      </c>
      <c r="L7" s="18" t="s">
        <v>171</v>
      </c>
      <c r="M7" s="18" t="s">
        <v>172</v>
      </c>
      <c r="N7" s="18" t="s">
        <v>162</v>
      </c>
      <c r="O7" s="18" t="s">
        <v>175</v>
      </c>
      <c r="P7" s="18" t="s">
        <v>176</v>
      </c>
      <c r="Q7" s="18">
        <f>IFERROR(MATCH(K7,Niveles!$B$2:$B$10,0),"")</f>
        <v>6</v>
      </c>
    </row>
    <row r="8" spans="1:17" x14ac:dyDescent="0.25">
      <c r="A8" s="18" t="s">
        <v>26</v>
      </c>
      <c r="B8" s="18">
        <v>1813</v>
      </c>
      <c r="C8" s="18" t="s">
        <v>181</v>
      </c>
      <c r="D8" s="18"/>
      <c r="E8" s="18" t="s">
        <v>182</v>
      </c>
      <c r="F8" s="18" t="s">
        <v>169</v>
      </c>
      <c r="G8" s="18"/>
      <c r="H8" s="18">
        <v>66</v>
      </c>
      <c r="I8" s="18" t="s">
        <v>162</v>
      </c>
      <c r="J8" s="18" t="s">
        <v>170</v>
      </c>
      <c r="K8" s="18" t="s">
        <v>103</v>
      </c>
      <c r="L8" s="18" t="s">
        <v>171</v>
      </c>
      <c r="M8" s="18" t="s">
        <v>172</v>
      </c>
      <c r="N8" s="18" t="s">
        <v>162</v>
      </c>
      <c r="O8" s="18" t="s">
        <v>163</v>
      </c>
      <c r="P8" s="18" t="s">
        <v>183</v>
      </c>
      <c r="Q8" s="18">
        <f>IFERROR(MATCH(K8,Niveles!$B$2:$B$10,0),"")</f>
        <v>2</v>
      </c>
    </row>
    <row r="9" spans="1:17" x14ac:dyDescent="0.25">
      <c r="A9" s="18" t="s">
        <v>26</v>
      </c>
      <c r="B9" s="18">
        <v>1813</v>
      </c>
      <c r="C9" s="18" t="s">
        <v>181</v>
      </c>
      <c r="D9" s="18"/>
      <c r="E9" s="18" t="s">
        <v>184</v>
      </c>
      <c r="F9" s="18" t="s">
        <v>145</v>
      </c>
      <c r="G9" s="18"/>
      <c r="H9" s="18">
        <v>89</v>
      </c>
      <c r="I9" s="18" t="s">
        <v>162</v>
      </c>
      <c r="J9" s="18" t="s">
        <v>170</v>
      </c>
      <c r="K9" s="18" t="s">
        <v>105</v>
      </c>
      <c r="L9" s="18" t="s">
        <v>171</v>
      </c>
      <c r="M9" s="18" t="s">
        <v>172</v>
      </c>
      <c r="N9" s="18" t="s">
        <v>162</v>
      </c>
      <c r="O9" s="18" t="s">
        <v>175</v>
      </c>
      <c r="P9" s="18" t="s">
        <v>176</v>
      </c>
      <c r="Q9" s="18">
        <f>IFERROR(MATCH(K9,Niveles!$B$2:$B$10,0),"")</f>
        <v>6</v>
      </c>
    </row>
    <row r="10" spans="1:17" x14ac:dyDescent="0.25">
      <c r="A10" s="18" t="s">
        <v>26</v>
      </c>
      <c r="B10" s="18">
        <v>1813</v>
      </c>
      <c r="C10" s="18" t="s">
        <v>185</v>
      </c>
      <c r="D10" s="18"/>
      <c r="E10" s="18" t="s">
        <v>186</v>
      </c>
      <c r="F10" s="18" t="s">
        <v>169</v>
      </c>
      <c r="G10" s="18"/>
      <c r="H10" s="18">
        <v>93</v>
      </c>
      <c r="I10" s="18" t="s">
        <v>162</v>
      </c>
      <c r="J10" s="18" t="s">
        <v>170</v>
      </c>
      <c r="K10" s="18" t="s">
        <v>103</v>
      </c>
      <c r="L10" s="18" t="s">
        <v>171</v>
      </c>
      <c r="M10" s="18" t="s">
        <v>172</v>
      </c>
      <c r="N10" s="18" t="s">
        <v>162</v>
      </c>
      <c r="O10" s="18" t="s">
        <v>163</v>
      </c>
      <c r="P10" s="18" t="s">
        <v>187</v>
      </c>
      <c r="Q10" s="18">
        <f>IFERROR(MATCH(K10,Niveles!$B$2:$B$10,0),"")</f>
        <v>2</v>
      </c>
    </row>
    <row r="11" spans="1:17" x14ac:dyDescent="0.25">
      <c r="A11" s="18" t="s">
        <v>26</v>
      </c>
      <c r="B11" s="18">
        <v>1813</v>
      </c>
      <c r="C11" s="18" t="s">
        <v>185</v>
      </c>
      <c r="D11" s="18"/>
      <c r="E11" s="18" t="s">
        <v>188</v>
      </c>
      <c r="F11" s="18" t="s">
        <v>145</v>
      </c>
      <c r="G11" s="18"/>
      <c r="H11" s="18">
        <v>99</v>
      </c>
      <c r="I11" s="18" t="s">
        <v>162</v>
      </c>
      <c r="J11" s="18" t="s">
        <v>170</v>
      </c>
      <c r="K11" s="18" t="s">
        <v>105</v>
      </c>
      <c r="L11" s="18" t="s">
        <v>171</v>
      </c>
      <c r="M11" s="18" t="s">
        <v>172</v>
      </c>
      <c r="N11" s="18" t="s">
        <v>162</v>
      </c>
      <c r="O11" s="18" t="s">
        <v>175</v>
      </c>
      <c r="P11" s="18" t="s">
        <v>176</v>
      </c>
      <c r="Q11" s="18">
        <f>IFERROR(MATCH(K11,Niveles!$B$2:$B$10,0),"")</f>
        <v>6</v>
      </c>
    </row>
    <row r="12" spans="1:17" x14ac:dyDescent="0.25">
      <c r="A12" s="18" t="s">
        <v>26</v>
      </c>
      <c r="B12" s="18">
        <v>1813</v>
      </c>
      <c r="C12" s="18" t="s">
        <v>189</v>
      </c>
      <c r="D12" s="18"/>
      <c r="E12" s="18" t="s">
        <v>190</v>
      </c>
      <c r="F12" s="18" t="s">
        <v>169</v>
      </c>
      <c r="G12" s="18"/>
      <c r="H12" s="18">
        <v>102</v>
      </c>
      <c r="I12" s="18" t="s">
        <v>162</v>
      </c>
      <c r="J12" s="18" t="s">
        <v>170</v>
      </c>
      <c r="K12" s="18" t="s">
        <v>103</v>
      </c>
      <c r="L12" s="18" t="s">
        <v>171</v>
      </c>
      <c r="M12" s="18" t="s">
        <v>172</v>
      </c>
      <c r="N12" s="18" t="s">
        <v>162</v>
      </c>
      <c r="O12" s="18" t="s">
        <v>163</v>
      </c>
      <c r="P12" s="18" t="s">
        <v>191</v>
      </c>
      <c r="Q12" s="18">
        <f>IFERROR(MATCH(K12,Niveles!$B$2:$B$10,0),"")</f>
        <v>2</v>
      </c>
    </row>
    <row r="13" spans="1:17" x14ac:dyDescent="0.25">
      <c r="A13" s="18" t="s">
        <v>26</v>
      </c>
      <c r="B13" s="18">
        <v>1813</v>
      </c>
      <c r="C13" s="18" t="s">
        <v>189</v>
      </c>
      <c r="D13" s="18"/>
      <c r="E13" s="18" t="s">
        <v>192</v>
      </c>
      <c r="F13" s="18" t="s">
        <v>145</v>
      </c>
      <c r="G13" s="18"/>
      <c r="H13" s="18">
        <v>110</v>
      </c>
      <c r="I13" s="18" t="s">
        <v>162</v>
      </c>
      <c r="J13" s="18" t="s">
        <v>170</v>
      </c>
      <c r="K13" s="18" t="s">
        <v>105</v>
      </c>
      <c r="L13" s="18" t="s">
        <v>171</v>
      </c>
      <c r="M13" s="18" t="s">
        <v>172</v>
      </c>
      <c r="N13" s="18" t="s">
        <v>162</v>
      </c>
      <c r="O13" s="18" t="s">
        <v>175</v>
      </c>
      <c r="P13" s="18" t="s">
        <v>176</v>
      </c>
      <c r="Q13" s="18">
        <f>IFERROR(MATCH(K13,Niveles!$B$2:$B$10,0),"")</f>
        <v>6</v>
      </c>
    </row>
    <row r="14" spans="1:17" x14ac:dyDescent="0.25">
      <c r="A14" s="18" t="s">
        <v>26</v>
      </c>
      <c r="B14" s="18">
        <v>1813</v>
      </c>
      <c r="C14" s="18" t="s">
        <v>193</v>
      </c>
      <c r="D14" s="18"/>
      <c r="E14" s="18" t="s">
        <v>194</v>
      </c>
      <c r="F14" s="18" t="s">
        <v>169</v>
      </c>
      <c r="G14" s="18"/>
      <c r="H14" s="18">
        <v>112</v>
      </c>
      <c r="I14" s="18" t="s">
        <v>162</v>
      </c>
      <c r="J14" s="18" t="s">
        <v>170</v>
      </c>
      <c r="K14" s="18" t="s">
        <v>103</v>
      </c>
      <c r="L14" s="18" t="s">
        <v>171</v>
      </c>
      <c r="M14" s="18" t="s">
        <v>172</v>
      </c>
      <c r="N14" s="18" t="s">
        <v>162</v>
      </c>
      <c r="O14" s="18" t="s">
        <v>163</v>
      </c>
      <c r="P14" s="18" t="s">
        <v>195</v>
      </c>
      <c r="Q14" s="18">
        <f>IFERROR(MATCH(K14,Niveles!$B$2:$B$10,0),"")</f>
        <v>2</v>
      </c>
    </row>
    <row r="15" spans="1:17" x14ac:dyDescent="0.25">
      <c r="A15" s="18" t="s">
        <v>26</v>
      </c>
      <c r="B15" s="18">
        <v>1813</v>
      </c>
      <c r="C15" s="18" t="s">
        <v>193</v>
      </c>
      <c r="D15" s="18"/>
      <c r="E15" s="18" t="s">
        <v>196</v>
      </c>
      <c r="F15" s="18" t="s">
        <v>145</v>
      </c>
      <c r="G15" s="18"/>
      <c r="H15" s="18">
        <v>133</v>
      </c>
      <c r="I15" s="18" t="s">
        <v>162</v>
      </c>
      <c r="J15" s="18" t="s">
        <v>170</v>
      </c>
      <c r="K15" s="18" t="s">
        <v>105</v>
      </c>
      <c r="L15" s="18" t="s">
        <v>171</v>
      </c>
      <c r="M15" s="18" t="s">
        <v>172</v>
      </c>
      <c r="N15" s="18" t="s">
        <v>162</v>
      </c>
      <c r="O15" s="18" t="s">
        <v>175</v>
      </c>
      <c r="P15" s="18" t="s">
        <v>176</v>
      </c>
      <c r="Q15" s="18">
        <f>IFERROR(MATCH(K15,Niveles!$B$2:$B$10,0),"")</f>
        <v>6</v>
      </c>
    </row>
    <row r="16" spans="1:17" x14ac:dyDescent="0.25">
      <c r="A16" s="18" t="s">
        <v>26</v>
      </c>
      <c r="B16" s="18">
        <v>1813</v>
      </c>
      <c r="C16" s="18" t="s">
        <v>197</v>
      </c>
      <c r="D16" s="18"/>
      <c r="E16" s="18" t="s">
        <v>198</v>
      </c>
      <c r="F16" s="18" t="s">
        <v>169</v>
      </c>
      <c r="G16" s="18"/>
      <c r="H16" s="18">
        <v>137</v>
      </c>
      <c r="I16" s="18" t="s">
        <v>162</v>
      </c>
      <c r="J16" s="18" t="s">
        <v>170</v>
      </c>
      <c r="K16" s="18" t="s">
        <v>103</v>
      </c>
      <c r="L16" s="18" t="s">
        <v>171</v>
      </c>
      <c r="M16" s="18" t="s">
        <v>172</v>
      </c>
      <c r="N16" s="18" t="s">
        <v>162</v>
      </c>
      <c r="O16" s="18" t="s">
        <v>163</v>
      </c>
      <c r="P16" s="18" t="s">
        <v>199</v>
      </c>
      <c r="Q16" s="18">
        <f>IFERROR(MATCH(K16,Niveles!$B$2:$B$10,0),"")</f>
        <v>2</v>
      </c>
    </row>
    <row r="17" spans="1:17" x14ac:dyDescent="0.25">
      <c r="A17" s="18" t="s">
        <v>26</v>
      </c>
      <c r="B17" s="18">
        <v>1813</v>
      </c>
      <c r="C17" s="18" t="s">
        <v>197</v>
      </c>
      <c r="D17" s="18"/>
      <c r="E17" s="18" t="s">
        <v>200</v>
      </c>
      <c r="F17" s="18" t="s">
        <v>145</v>
      </c>
      <c r="G17" s="18"/>
      <c r="H17" s="18">
        <v>144</v>
      </c>
      <c r="I17" s="18" t="s">
        <v>162</v>
      </c>
      <c r="J17" s="18" t="s">
        <v>170</v>
      </c>
      <c r="K17" s="18" t="s">
        <v>105</v>
      </c>
      <c r="L17" s="18" t="s">
        <v>171</v>
      </c>
      <c r="M17" s="18" t="s">
        <v>172</v>
      </c>
      <c r="N17" s="18" t="s">
        <v>162</v>
      </c>
      <c r="O17" s="18" t="s">
        <v>175</v>
      </c>
      <c r="P17" s="18" t="s">
        <v>176</v>
      </c>
      <c r="Q17" s="18">
        <f>IFERROR(MATCH(K17,Niveles!$B$2:$B$10,0),"")</f>
        <v>6</v>
      </c>
    </row>
    <row r="18" spans="1:17" x14ac:dyDescent="0.25">
      <c r="A18" s="18" t="s">
        <v>26</v>
      </c>
      <c r="B18" s="18">
        <v>1813</v>
      </c>
      <c r="C18" s="18" t="s">
        <v>201</v>
      </c>
      <c r="D18" s="18"/>
      <c r="E18" s="18" t="s">
        <v>202</v>
      </c>
      <c r="F18" s="18" t="s">
        <v>169</v>
      </c>
      <c r="G18" s="18"/>
      <c r="H18" s="18">
        <v>147</v>
      </c>
      <c r="I18" s="18" t="s">
        <v>162</v>
      </c>
      <c r="J18" s="18" t="s">
        <v>170</v>
      </c>
      <c r="K18" s="18" t="s">
        <v>103</v>
      </c>
      <c r="L18" s="18" t="s">
        <v>171</v>
      </c>
      <c r="M18" s="18" t="s">
        <v>172</v>
      </c>
      <c r="N18" s="18" t="s">
        <v>162</v>
      </c>
      <c r="O18" s="18" t="s">
        <v>163</v>
      </c>
      <c r="P18" s="18" t="s">
        <v>203</v>
      </c>
      <c r="Q18" s="18">
        <f>IFERROR(MATCH(K18,Niveles!$B$2:$B$10,0),"")</f>
        <v>2</v>
      </c>
    </row>
    <row r="19" spans="1:17" x14ac:dyDescent="0.25">
      <c r="A19" s="18" t="s">
        <v>26</v>
      </c>
      <c r="B19" s="18">
        <v>1813</v>
      </c>
      <c r="C19" s="18" t="s">
        <v>201</v>
      </c>
      <c r="D19" s="18"/>
      <c r="E19" s="18" t="s">
        <v>204</v>
      </c>
      <c r="F19" s="18" t="s">
        <v>145</v>
      </c>
      <c r="G19" s="18"/>
      <c r="H19" s="18">
        <v>161</v>
      </c>
      <c r="I19" s="18" t="s">
        <v>162</v>
      </c>
      <c r="J19" s="18" t="s">
        <v>170</v>
      </c>
      <c r="K19" s="18" t="s">
        <v>105</v>
      </c>
      <c r="L19" s="18" t="s">
        <v>171</v>
      </c>
      <c r="M19" s="18" t="s">
        <v>172</v>
      </c>
      <c r="N19" s="18" t="s">
        <v>162</v>
      </c>
      <c r="O19" s="18" t="s">
        <v>175</v>
      </c>
      <c r="P19" s="18" t="s">
        <v>176</v>
      </c>
      <c r="Q19" s="18">
        <f>IFERROR(MATCH(K19,Niveles!$B$2:$B$10,0),"")</f>
        <v>6</v>
      </c>
    </row>
    <row r="20" spans="1:17" x14ac:dyDescent="0.25">
      <c r="A20" s="18" t="s">
        <v>26</v>
      </c>
      <c r="B20" s="18">
        <v>1813</v>
      </c>
      <c r="C20" s="18" t="s">
        <v>205</v>
      </c>
      <c r="D20" s="18"/>
      <c r="E20" s="18" t="s">
        <v>206</v>
      </c>
      <c r="F20" s="18" t="s">
        <v>169</v>
      </c>
      <c r="G20" s="18"/>
      <c r="H20" s="18">
        <v>165</v>
      </c>
      <c r="I20" s="18" t="s">
        <v>162</v>
      </c>
      <c r="J20" s="18" t="s">
        <v>170</v>
      </c>
      <c r="K20" s="18" t="s">
        <v>103</v>
      </c>
      <c r="L20" s="18" t="s">
        <v>171</v>
      </c>
      <c r="M20" s="18" t="s">
        <v>172</v>
      </c>
      <c r="N20" s="18" t="s">
        <v>162</v>
      </c>
      <c r="O20" s="18" t="s">
        <v>163</v>
      </c>
      <c r="P20" s="18" t="s">
        <v>207</v>
      </c>
      <c r="Q20" s="18">
        <f>IFERROR(MATCH(K20,Niveles!$B$2:$B$10,0),"")</f>
        <v>2</v>
      </c>
    </row>
    <row r="21" spans="1:17" x14ac:dyDescent="0.25">
      <c r="A21" s="18" t="s">
        <v>26</v>
      </c>
      <c r="B21" s="18">
        <v>1813</v>
      </c>
      <c r="C21" s="18" t="s">
        <v>205</v>
      </c>
      <c r="D21" s="18"/>
      <c r="E21" s="18" t="s">
        <v>208</v>
      </c>
      <c r="F21" s="18" t="s">
        <v>145</v>
      </c>
      <c r="G21" s="18"/>
      <c r="H21" s="18">
        <v>168</v>
      </c>
      <c r="I21" s="18" t="s">
        <v>162</v>
      </c>
      <c r="J21" s="18" t="s">
        <v>170</v>
      </c>
      <c r="K21" s="18" t="s">
        <v>105</v>
      </c>
      <c r="L21" s="18" t="s">
        <v>171</v>
      </c>
      <c r="M21" s="18" t="s">
        <v>172</v>
      </c>
      <c r="N21" s="18" t="s">
        <v>162</v>
      </c>
      <c r="O21" s="18" t="s">
        <v>175</v>
      </c>
      <c r="P21" s="18" t="s">
        <v>176</v>
      </c>
      <c r="Q21" s="18">
        <f>IFERROR(MATCH(K21,Niveles!$B$2:$B$10,0),"")</f>
        <v>6</v>
      </c>
    </row>
    <row r="22" spans="1:17" x14ac:dyDescent="0.25">
      <c r="A22" s="18" t="s">
        <v>26</v>
      </c>
      <c r="B22" s="18">
        <v>1813</v>
      </c>
      <c r="C22" s="18" t="s">
        <v>209</v>
      </c>
      <c r="D22" s="18"/>
      <c r="E22" s="18" t="s">
        <v>210</v>
      </c>
      <c r="F22" s="18" t="s">
        <v>169</v>
      </c>
      <c r="G22" s="18"/>
      <c r="H22" s="18">
        <v>173</v>
      </c>
      <c r="I22" s="18" t="s">
        <v>162</v>
      </c>
      <c r="J22" s="18" t="s">
        <v>170</v>
      </c>
      <c r="K22" s="18" t="s">
        <v>103</v>
      </c>
      <c r="L22" s="18" t="s">
        <v>171</v>
      </c>
      <c r="M22" s="18" t="s">
        <v>172</v>
      </c>
      <c r="N22" s="18" t="s">
        <v>162</v>
      </c>
      <c r="O22" s="18" t="s">
        <v>163</v>
      </c>
      <c r="P22" s="18" t="s">
        <v>211</v>
      </c>
      <c r="Q22" s="18">
        <f>IFERROR(MATCH(K22,Niveles!$B$2:$B$10,0),"")</f>
        <v>2</v>
      </c>
    </row>
    <row r="23" spans="1:17" x14ac:dyDescent="0.25">
      <c r="A23" s="18" t="s">
        <v>26</v>
      </c>
      <c r="B23" s="18">
        <v>1813</v>
      </c>
      <c r="C23" s="18" t="s">
        <v>209</v>
      </c>
      <c r="D23" s="18"/>
      <c r="E23" s="18" t="s">
        <v>212</v>
      </c>
      <c r="F23" s="18" t="s">
        <v>145</v>
      </c>
      <c r="G23" s="18"/>
      <c r="H23" s="18">
        <v>184</v>
      </c>
      <c r="I23" s="18" t="s">
        <v>162</v>
      </c>
      <c r="J23" s="18" t="s">
        <v>170</v>
      </c>
      <c r="K23" s="18" t="s">
        <v>105</v>
      </c>
      <c r="L23" s="18" t="s">
        <v>171</v>
      </c>
      <c r="M23" s="18" t="s">
        <v>172</v>
      </c>
      <c r="N23" s="18" t="s">
        <v>162</v>
      </c>
      <c r="O23" s="18" t="s">
        <v>175</v>
      </c>
      <c r="P23" s="18" t="s">
        <v>176</v>
      </c>
      <c r="Q23" s="18">
        <f>IFERROR(MATCH(K23,Niveles!$B$2:$B$10,0),"")</f>
        <v>6</v>
      </c>
    </row>
    <row r="24" spans="1:17" x14ac:dyDescent="0.25">
      <c r="A24" s="18" t="s">
        <v>26</v>
      </c>
      <c r="B24" s="18">
        <v>1813</v>
      </c>
      <c r="C24" s="18" t="s">
        <v>213</v>
      </c>
      <c r="D24" s="18"/>
      <c r="E24" s="18" t="s">
        <v>214</v>
      </c>
      <c r="F24" s="18" t="s">
        <v>169</v>
      </c>
      <c r="G24" s="18"/>
      <c r="H24" s="18">
        <v>190</v>
      </c>
      <c r="I24" s="18" t="s">
        <v>162</v>
      </c>
      <c r="J24" s="18" t="s">
        <v>170</v>
      </c>
      <c r="K24" s="18" t="s">
        <v>103</v>
      </c>
      <c r="L24" s="18" t="s">
        <v>171</v>
      </c>
      <c r="M24" s="18" t="s">
        <v>172</v>
      </c>
      <c r="N24" s="18" t="s">
        <v>162</v>
      </c>
      <c r="O24" s="18" t="s">
        <v>163</v>
      </c>
      <c r="P24" s="18" t="s">
        <v>215</v>
      </c>
      <c r="Q24" s="18">
        <f>IFERROR(MATCH(K24,Niveles!$B$2:$B$10,0),"")</f>
        <v>2</v>
      </c>
    </row>
    <row r="25" spans="1:17" x14ac:dyDescent="0.25">
      <c r="A25" s="18" t="s">
        <v>26</v>
      </c>
      <c r="B25" s="18">
        <v>1813</v>
      </c>
      <c r="C25" s="18" t="s">
        <v>213</v>
      </c>
      <c r="D25" s="18"/>
      <c r="E25" s="18" t="s">
        <v>216</v>
      </c>
      <c r="F25" s="18" t="s">
        <v>145</v>
      </c>
      <c r="G25" s="18"/>
      <c r="H25" s="18">
        <v>231</v>
      </c>
      <c r="I25" s="18" t="s">
        <v>162</v>
      </c>
      <c r="J25" s="18" t="s">
        <v>170</v>
      </c>
      <c r="K25" s="18" t="s">
        <v>105</v>
      </c>
      <c r="L25" s="18" t="s">
        <v>171</v>
      </c>
      <c r="M25" s="18" t="s">
        <v>172</v>
      </c>
      <c r="N25" s="18" t="s">
        <v>162</v>
      </c>
      <c r="O25" s="18" t="s">
        <v>175</v>
      </c>
      <c r="P25" s="18" t="s">
        <v>176</v>
      </c>
      <c r="Q25" s="18">
        <f>IFERROR(MATCH(K25,Niveles!$B$2:$B$10,0),"")</f>
        <v>6</v>
      </c>
    </row>
    <row r="26" spans="1:17" x14ac:dyDescent="0.25">
      <c r="A26" s="18" t="s">
        <v>26</v>
      </c>
      <c r="B26" s="18">
        <v>1813</v>
      </c>
      <c r="C26" s="18" t="s">
        <v>217</v>
      </c>
      <c r="D26" s="18"/>
      <c r="E26" s="18" t="s">
        <v>218</v>
      </c>
      <c r="F26" s="18" t="s">
        <v>169</v>
      </c>
      <c r="G26" s="18"/>
      <c r="H26" s="18">
        <v>219</v>
      </c>
      <c r="I26" s="18" t="s">
        <v>162</v>
      </c>
      <c r="J26" s="18" t="s">
        <v>170</v>
      </c>
      <c r="K26" s="18" t="s">
        <v>103</v>
      </c>
      <c r="L26" s="18" t="s">
        <v>171</v>
      </c>
      <c r="M26" s="18" t="s">
        <v>172</v>
      </c>
      <c r="N26" s="18" t="s">
        <v>162</v>
      </c>
      <c r="O26" s="18" t="s">
        <v>163</v>
      </c>
      <c r="P26" s="18" t="s">
        <v>219</v>
      </c>
      <c r="Q26" s="18">
        <f>IFERROR(MATCH(K26,Niveles!$B$2:$B$10,0),"")</f>
        <v>2</v>
      </c>
    </row>
    <row r="27" spans="1:17" x14ac:dyDescent="0.25">
      <c r="A27" s="18" t="s">
        <v>26</v>
      </c>
      <c r="B27" s="18">
        <v>1813</v>
      </c>
      <c r="C27" s="18" t="s">
        <v>217</v>
      </c>
      <c r="D27" s="18"/>
      <c r="E27" s="18" t="s">
        <v>220</v>
      </c>
      <c r="F27" s="18" t="s">
        <v>145</v>
      </c>
      <c r="G27" s="18"/>
      <c r="H27" s="18">
        <v>217</v>
      </c>
      <c r="I27" s="18" t="s">
        <v>162</v>
      </c>
      <c r="J27" s="18" t="s">
        <v>170</v>
      </c>
      <c r="K27" s="18" t="s">
        <v>105</v>
      </c>
      <c r="L27" s="18" t="s">
        <v>171</v>
      </c>
      <c r="M27" s="18" t="s">
        <v>172</v>
      </c>
      <c r="N27" s="18" t="s">
        <v>162</v>
      </c>
      <c r="O27" s="18" t="s">
        <v>175</v>
      </c>
      <c r="P27" s="18" t="s">
        <v>176</v>
      </c>
      <c r="Q27" s="18">
        <f>IFERROR(MATCH(K27,Niveles!$B$2:$B$10,0),"")</f>
        <v>6</v>
      </c>
    </row>
    <row r="28" spans="1:17" x14ac:dyDescent="0.25">
      <c r="A28" s="18" t="s">
        <v>26</v>
      </c>
      <c r="B28" s="18">
        <v>1813</v>
      </c>
      <c r="C28" s="18" t="s">
        <v>221</v>
      </c>
      <c r="D28" s="18"/>
      <c r="E28" s="18" t="s">
        <v>222</v>
      </c>
      <c r="F28" s="18" t="s">
        <v>169</v>
      </c>
      <c r="G28" s="18"/>
      <c r="H28" s="18">
        <v>235</v>
      </c>
      <c r="I28" s="18" t="s">
        <v>162</v>
      </c>
      <c r="J28" s="18" t="s">
        <v>170</v>
      </c>
      <c r="K28" s="18" t="s">
        <v>103</v>
      </c>
      <c r="L28" s="18" t="s">
        <v>171</v>
      </c>
      <c r="M28" s="18" t="s">
        <v>172</v>
      </c>
      <c r="N28" s="18" t="s">
        <v>162</v>
      </c>
      <c r="O28" s="18" t="s">
        <v>163</v>
      </c>
      <c r="P28" s="18" t="s">
        <v>223</v>
      </c>
      <c r="Q28" s="18">
        <f>IFERROR(MATCH(K28,Niveles!$B$2:$B$10,0),"")</f>
        <v>2</v>
      </c>
    </row>
    <row r="29" spans="1:17" x14ac:dyDescent="0.25">
      <c r="A29" s="18" t="s">
        <v>26</v>
      </c>
      <c r="B29" s="18">
        <v>1813</v>
      </c>
      <c r="C29" s="18" t="s">
        <v>221</v>
      </c>
      <c r="D29" s="18"/>
      <c r="E29" s="18" t="s">
        <v>224</v>
      </c>
      <c r="F29" s="18" t="s">
        <v>145</v>
      </c>
      <c r="G29" s="18"/>
      <c r="H29" s="18">
        <v>249</v>
      </c>
      <c r="I29" s="18" t="s">
        <v>162</v>
      </c>
      <c r="J29" s="18" t="s">
        <v>170</v>
      </c>
      <c r="K29" s="18" t="s">
        <v>105</v>
      </c>
      <c r="L29" s="18" t="s">
        <v>171</v>
      </c>
      <c r="M29" s="18" t="s">
        <v>172</v>
      </c>
      <c r="N29" s="18" t="s">
        <v>162</v>
      </c>
      <c r="O29" s="18" t="s">
        <v>175</v>
      </c>
      <c r="P29" s="18" t="s">
        <v>176</v>
      </c>
      <c r="Q29" s="18">
        <f>IFERROR(MATCH(K29,Niveles!$B$2:$B$10,0),"")</f>
        <v>6</v>
      </c>
    </row>
    <row r="30" spans="1:17" x14ac:dyDescent="0.25">
      <c r="A30" s="18" t="s">
        <v>26</v>
      </c>
      <c r="B30" s="18">
        <v>1813</v>
      </c>
      <c r="C30" s="18" t="s">
        <v>225</v>
      </c>
      <c r="D30" s="18"/>
      <c r="E30" s="18" t="s">
        <v>226</v>
      </c>
      <c r="F30" s="18" t="s">
        <v>169</v>
      </c>
      <c r="G30" s="18"/>
      <c r="H30" s="18">
        <v>251</v>
      </c>
      <c r="I30" s="18" t="s">
        <v>162</v>
      </c>
      <c r="J30" s="18" t="s">
        <v>170</v>
      </c>
      <c r="K30" s="18" t="s">
        <v>103</v>
      </c>
      <c r="L30" s="18" t="s">
        <v>171</v>
      </c>
      <c r="M30" s="18" t="s">
        <v>172</v>
      </c>
      <c r="N30" s="18" t="s">
        <v>162</v>
      </c>
      <c r="O30" s="18" t="s">
        <v>163</v>
      </c>
      <c r="P30" s="18" t="s">
        <v>227</v>
      </c>
      <c r="Q30" s="18">
        <f>IFERROR(MATCH(K30,Niveles!$B$2:$B$10,0),"")</f>
        <v>2</v>
      </c>
    </row>
    <row r="31" spans="1:17" x14ac:dyDescent="0.25">
      <c r="A31" s="18" t="s">
        <v>26</v>
      </c>
      <c r="B31" s="18">
        <v>1813</v>
      </c>
      <c r="C31" s="18" t="s">
        <v>225</v>
      </c>
      <c r="D31" s="18"/>
      <c r="E31" s="18" t="s">
        <v>228</v>
      </c>
      <c r="F31" s="18" t="s">
        <v>145</v>
      </c>
      <c r="G31" s="18"/>
      <c r="H31" s="18">
        <v>259</v>
      </c>
      <c r="I31" s="18" t="s">
        <v>162</v>
      </c>
      <c r="J31" s="18" t="s">
        <v>170</v>
      </c>
      <c r="K31" s="18" t="s">
        <v>105</v>
      </c>
      <c r="L31" s="18" t="s">
        <v>171</v>
      </c>
      <c r="M31" s="18" t="s">
        <v>172</v>
      </c>
      <c r="N31" s="18" t="s">
        <v>162</v>
      </c>
      <c r="O31" s="18" t="s">
        <v>175</v>
      </c>
      <c r="P31" s="18" t="s">
        <v>176</v>
      </c>
      <c r="Q31" s="18">
        <f>IFERROR(MATCH(K31,Niveles!$B$2:$B$10,0),"")</f>
        <v>6</v>
      </c>
    </row>
    <row r="32" spans="1:17" x14ac:dyDescent="0.25">
      <c r="A32" s="18" t="s">
        <v>26</v>
      </c>
      <c r="B32" s="18">
        <v>1813</v>
      </c>
      <c r="C32" s="18" t="s">
        <v>229</v>
      </c>
      <c r="D32" s="18"/>
      <c r="E32" s="18" t="s">
        <v>230</v>
      </c>
      <c r="F32" s="18" t="s">
        <v>145</v>
      </c>
      <c r="G32" s="18"/>
      <c r="H32" s="18">
        <v>261</v>
      </c>
      <c r="I32" s="18" t="s">
        <v>162</v>
      </c>
      <c r="J32" s="18"/>
      <c r="K32" s="18"/>
      <c r="L32" s="18"/>
      <c r="M32" s="18"/>
      <c r="N32" s="18"/>
      <c r="O32" s="18" t="s">
        <v>163</v>
      </c>
      <c r="P32" s="18" t="s">
        <v>231</v>
      </c>
      <c r="Q32" s="18" t="str">
        <f>IFERROR(MATCH(K32,Niveles!$B$2:$B$10,0),"")</f>
        <v/>
      </c>
    </row>
    <row r="33" spans="1:17" x14ac:dyDescent="0.25">
      <c r="A33" s="18" t="s">
        <v>30</v>
      </c>
      <c r="B33" s="18">
        <v>1835</v>
      </c>
      <c r="C33" s="18" t="s">
        <v>232</v>
      </c>
      <c r="D33" s="18" t="s">
        <v>233</v>
      </c>
      <c r="E33" s="18" t="s">
        <v>234</v>
      </c>
      <c r="F33" s="18" t="s">
        <v>161</v>
      </c>
      <c r="G33" s="18" t="s">
        <v>112</v>
      </c>
      <c r="H33" s="18">
        <v>5</v>
      </c>
      <c r="I33" s="18" t="s">
        <v>162</v>
      </c>
      <c r="J33" s="18"/>
      <c r="K33" s="18"/>
      <c r="L33" s="18"/>
      <c r="M33" s="18"/>
      <c r="N33" s="18"/>
      <c r="O33" s="18" t="s">
        <v>163</v>
      </c>
      <c r="P33" s="18"/>
      <c r="Q33" s="18" t="str">
        <f>IFERROR(MATCH(K33,Niveles!$B$2:$B$10,0),"")</f>
        <v/>
      </c>
    </row>
    <row r="34" spans="1:17" x14ac:dyDescent="0.25">
      <c r="A34" s="18" t="s">
        <v>30</v>
      </c>
      <c r="B34" s="18">
        <v>1835</v>
      </c>
      <c r="C34" s="18" t="s">
        <v>232</v>
      </c>
      <c r="D34" s="18" t="s">
        <v>235</v>
      </c>
      <c r="E34" s="18" t="s">
        <v>236</v>
      </c>
      <c r="F34" s="18" t="s">
        <v>161</v>
      </c>
      <c r="G34" s="18" t="s">
        <v>237</v>
      </c>
      <c r="H34" s="18">
        <v>6</v>
      </c>
      <c r="I34" s="18" t="s">
        <v>238</v>
      </c>
      <c r="J34" s="18"/>
      <c r="K34" s="18"/>
      <c r="L34" s="18"/>
      <c r="M34" s="18"/>
      <c r="N34" s="18"/>
      <c r="O34" s="18" t="s">
        <v>163</v>
      </c>
      <c r="P34" s="18"/>
      <c r="Q34" s="18" t="str">
        <f>IFERROR(MATCH(K34,Niveles!$B$2:$B$10,0),"")</f>
        <v/>
      </c>
    </row>
    <row r="35" spans="1:17" x14ac:dyDescent="0.25">
      <c r="A35" s="18" t="s">
        <v>30</v>
      </c>
      <c r="B35" s="18">
        <v>1835</v>
      </c>
      <c r="C35" s="18" t="s">
        <v>232</v>
      </c>
      <c r="D35" s="18" t="s">
        <v>239</v>
      </c>
      <c r="E35" s="18" t="s">
        <v>240</v>
      </c>
      <c r="F35" s="18" t="s">
        <v>145</v>
      </c>
      <c r="G35" s="18" t="s">
        <v>121</v>
      </c>
      <c r="H35" s="18">
        <v>6</v>
      </c>
      <c r="I35" s="18" t="s">
        <v>238</v>
      </c>
      <c r="J35" s="18"/>
      <c r="K35" s="18"/>
      <c r="L35" s="18"/>
      <c r="M35" s="18"/>
      <c r="N35" s="18"/>
      <c r="O35" s="18" t="s">
        <v>163</v>
      </c>
      <c r="P35" s="18" t="s">
        <v>241</v>
      </c>
      <c r="Q35" s="18" t="str">
        <f>IFERROR(MATCH(K35,Niveles!$B$2:$B$10,0),"")</f>
        <v/>
      </c>
    </row>
    <row r="36" spans="1:17" x14ac:dyDescent="0.25">
      <c r="A36" s="18" t="s">
        <v>30</v>
      </c>
      <c r="B36" s="18">
        <v>1835</v>
      </c>
      <c r="C36" s="18" t="s">
        <v>232</v>
      </c>
      <c r="D36" s="18" t="s">
        <v>242</v>
      </c>
      <c r="E36" s="18" t="s">
        <v>243</v>
      </c>
      <c r="F36" s="18" t="s">
        <v>161</v>
      </c>
      <c r="G36" s="18" t="s">
        <v>122</v>
      </c>
      <c r="H36" s="18">
        <v>10</v>
      </c>
      <c r="I36" s="18" t="s">
        <v>238</v>
      </c>
      <c r="J36" s="18"/>
      <c r="K36" s="18"/>
      <c r="L36" s="18"/>
      <c r="M36" s="18"/>
      <c r="N36" s="18"/>
      <c r="O36" s="18" t="s">
        <v>163</v>
      </c>
      <c r="P36" s="18"/>
      <c r="Q36" s="18" t="str">
        <f>IFERROR(MATCH(K36,Niveles!$B$2:$B$10,0),"")</f>
        <v/>
      </c>
    </row>
    <row r="37" spans="1:17" x14ac:dyDescent="0.25">
      <c r="A37" s="18" t="s">
        <v>30</v>
      </c>
      <c r="B37" s="18">
        <v>1835</v>
      </c>
      <c r="C37" s="18" t="s">
        <v>244</v>
      </c>
      <c r="D37" s="18" t="s">
        <v>245</v>
      </c>
      <c r="E37" s="18" t="s">
        <v>246</v>
      </c>
      <c r="F37" s="18" t="s">
        <v>161</v>
      </c>
      <c r="G37" s="18" t="s">
        <v>247</v>
      </c>
      <c r="H37" s="18">
        <v>14</v>
      </c>
      <c r="I37" s="18" t="s">
        <v>238</v>
      </c>
      <c r="J37" s="18"/>
      <c r="K37" s="18"/>
      <c r="L37" s="18"/>
      <c r="M37" s="18"/>
      <c r="N37" s="18"/>
      <c r="O37" s="18" t="s">
        <v>163</v>
      </c>
      <c r="P37" s="18" t="s">
        <v>248</v>
      </c>
      <c r="Q37" s="18" t="str">
        <f>IFERROR(MATCH(K37,Niveles!$B$2:$B$10,0),"")</f>
        <v/>
      </c>
    </row>
    <row r="38" spans="1:17" x14ac:dyDescent="0.25">
      <c r="A38" s="18" t="s">
        <v>30</v>
      </c>
      <c r="B38" s="18">
        <v>1835</v>
      </c>
      <c r="C38" s="18" t="s">
        <v>249</v>
      </c>
      <c r="D38" s="18" t="s">
        <v>250</v>
      </c>
      <c r="E38" s="18" t="s">
        <v>251</v>
      </c>
      <c r="F38" s="18" t="s">
        <v>145</v>
      </c>
      <c r="G38" s="18" t="s">
        <v>252</v>
      </c>
      <c r="H38" s="18">
        <v>82</v>
      </c>
      <c r="I38" s="18" t="s">
        <v>238</v>
      </c>
      <c r="J38" s="18" t="s">
        <v>253</v>
      </c>
      <c r="K38" s="18" t="s">
        <v>105</v>
      </c>
      <c r="L38" s="18" t="s">
        <v>254</v>
      </c>
      <c r="M38" s="18" t="s">
        <v>255</v>
      </c>
      <c r="N38" s="18" t="s">
        <v>162</v>
      </c>
      <c r="O38" s="18" t="s">
        <v>175</v>
      </c>
      <c r="P38" s="18" t="s">
        <v>256</v>
      </c>
      <c r="Q38" s="18">
        <f>IFERROR(MATCH(K38,Niveles!$B$2:$B$10,0),"")</f>
        <v>6</v>
      </c>
    </row>
    <row r="39" spans="1:17" x14ac:dyDescent="0.25">
      <c r="A39" s="18" t="s">
        <v>30</v>
      </c>
      <c r="B39" s="18">
        <v>1835</v>
      </c>
      <c r="C39" s="18" t="s">
        <v>249</v>
      </c>
      <c r="D39" s="18" t="s">
        <v>257</v>
      </c>
      <c r="E39" s="18" t="s">
        <v>258</v>
      </c>
      <c r="F39" s="18" t="s">
        <v>145</v>
      </c>
      <c r="G39" s="18" t="s">
        <v>259</v>
      </c>
      <c r="H39" s="18">
        <v>83</v>
      </c>
      <c r="I39" s="18" t="s">
        <v>238</v>
      </c>
      <c r="J39" s="18" t="s">
        <v>253</v>
      </c>
      <c r="K39" s="18" t="s">
        <v>105</v>
      </c>
      <c r="L39" s="18" t="s">
        <v>254</v>
      </c>
      <c r="M39" s="18" t="s">
        <v>255</v>
      </c>
      <c r="N39" s="18" t="s">
        <v>162</v>
      </c>
      <c r="O39" s="18" t="s">
        <v>175</v>
      </c>
      <c r="P39" s="18" t="s">
        <v>256</v>
      </c>
      <c r="Q39" s="18">
        <f>IFERROR(MATCH(K39,Niveles!$B$2:$B$10,0),"")</f>
        <v>6</v>
      </c>
    </row>
    <row r="40" spans="1:17" x14ac:dyDescent="0.25">
      <c r="A40" s="18" t="s">
        <v>30</v>
      </c>
      <c r="B40" s="18">
        <v>1835</v>
      </c>
      <c r="C40" s="18" t="s">
        <v>249</v>
      </c>
      <c r="D40" s="18" t="s">
        <v>260</v>
      </c>
      <c r="E40" s="18" t="s">
        <v>229</v>
      </c>
      <c r="F40" s="18" t="s">
        <v>145</v>
      </c>
      <c r="G40" s="18" t="s">
        <v>261</v>
      </c>
      <c r="H40" s="18">
        <v>84</v>
      </c>
      <c r="I40" s="18" t="s">
        <v>238</v>
      </c>
      <c r="J40" s="18" t="s">
        <v>253</v>
      </c>
      <c r="K40" s="18" t="s">
        <v>105</v>
      </c>
      <c r="L40" s="18" t="s">
        <v>254</v>
      </c>
      <c r="M40" s="18" t="s">
        <v>255</v>
      </c>
      <c r="N40" s="18" t="s">
        <v>162</v>
      </c>
      <c r="O40" s="18" t="s">
        <v>175</v>
      </c>
      <c r="P40" s="18" t="s">
        <v>256</v>
      </c>
      <c r="Q40" s="18">
        <f>IFERROR(MATCH(K40,Niveles!$B$2:$B$10,0),"")</f>
        <v>6</v>
      </c>
    </row>
    <row r="41" spans="1:17" x14ac:dyDescent="0.25">
      <c r="A41" s="18" t="s">
        <v>30</v>
      </c>
      <c r="B41" s="18">
        <v>1835</v>
      </c>
      <c r="C41" s="18" t="s">
        <v>249</v>
      </c>
      <c r="D41" s="18" t="s">
        <v>262</v>
      </c>
      <c r="E41" s="18" t="s">
        <v>263</v>
      </c>
      <c r="F41" s="18" t="s">
        <v>145</v>
      </c>
      <c r="G41" s="18" t="s">
        <v>264</v>
      </c>
      <c r="H41" s="18">
        <v>87</v>
      </c>
      <c r="I41" s="18" t="s">
        <v>238</v>
      </c>
      <c r="J41" s="18" t="s">
        <v>253</v>
      </c>
      <c r="K41" s="18" t="s">
        <v>105</v>
      </c>
      <c r="L41" s="18" t="s">
        <v>254</v>
      </c>
      <c r="M41" s="18" t="s">
        <v>255</v>
      </c>
      <c r="N41" s="18" t="s">
        <v>162</v>
      </c>
      <c r="O41" s="18" t="s">
        <v>175</v>
      </c>
      <c r="P41" s="18" t="s">
        <v>256</v>
      </c>
      <c r="Q41" s="18">
        <f>IFERROR(MATCH(K41,Niveles!$B$2:$B$10,0),"")</f>
        <v>6</v>
      </c>
    </row>
    <row r="42" spans="1:17" x14ac:dyDescent="0.25">
      <c r="A42" s="18" t="s">
        <v>30</v>
      </c>
      <c r="B42" s="18">
        <v>1835</v>
      </c>
      <c r="C42" s="18" t="s">
        <v>249</v>
      </c>
      <c r="D42" s="18" t="s">
        <v>265</v>
      </c>
      <c r="E42" s="18" t="s">
        <v>266</v>
      </c>
      <c r="F42" s="18" t="s">
        <v>145</v>
      </c>
      <c r="G42" s="18" t="s">
        <v>267</v>
      </c>
      <c r="H42" s="18">
        <v>90</v>
      </c>
      <c r="I42" s="18" t="s">
        <v>238</v>
      </c>
      <c r="J42" s="18" t="s">
        <v>253</v>
      </c>
      <c r="K42" s="18" t="s">
        <v>105</v>
      </c>
      <c r="L42" s="18" t="s">
        <v>254</v>
      </c>
      <c r="M42" s="18" t="s">
        <v>255</v>
      </c>
      <c r="N42" s="18" t="s">
        <v>162</v>
      </c>
      <c r="O42" s="18" t="s">
        <v>175</v>
      </c>
      <c r="P42" s="18" t="s">
        <v>256</v>
      </c>
      <c r="Q42" s="18">
        <f>IFERROR(MATCH(K42,Niveles!$B$2:$B$10,0),"")</f>
        <v>6</v>
      </c>
    </row>
    <row r="43" spans="1:17" x14ac:dyDescent="0.25">
      <c r="A43" s="18" t="s">
        <v>30</v>
      </c>
      <c r="B43" s="18">
        <v>1835</v>
      </c>
      <c r="C43" s="18" t="s">
        <v>249</v>
      </c>
      <c r="D43" s="18" t="s">
        <v>268</v>
      </c>
      <c r="E43" s="18" t="s">
        <v>217</v>
      </c>
      <c r="F43" s="18" t="s">
        <v>145</v>
      </c>
      <c r="G43" s="18" t="s">
        <v>269</v>
      </c>
      <c r="H43" s="18">
        <v>90</v>
      </c>
      <c r="I43" s="18" t="s">
        <v>238</v>
      </c>
      <c r="J43" s="18" t="s">
        <v>253</v>
      </c>
      <c r="K43" s="18" t="s">
        <v>105</v>
      </c>
      <c r="L43" s="18" t="s">
        <v>254</v>
      </c>
      <c r="M43" s="18" t="s">
        <v>255</v>
      </c>
      <c r="N43" s="18" t="s">
        <v>162</v>
      </c>
      <c r="O43" s="18" t="s">
        <v>175</v>
      </c>
      <c r="P43" s="18" t="s">
        <v>256</v>
      </c>
      <c r="Q43" s="18">
        <f>IFERROR(MATCH(K43,Niveles!$B$2:$B$10,0),"")</f>
        <v>6</v>
      </c>
    </row>
    <row r="44" spans="1:17" x14ac:dyDescent="0.25">
      <c r="A44" s="18" t="s">
        <v>30</v>
      </c>
      <c r="B44" s="18">
        <v>1835</v>
      </c>
      <c r="C44" s="18" t="s">
        <v>249</v>
      </c>
      <c r="D44" s="18" t="s">
        <v>270</v>
      </c>
      <c r="E44" s="18" t="s">
        <v>271</v>
      </c>
      <c r="F44" s="18" t="s">
        <v>145</v>
      </c>
      <c r="G44" s="18" t="s">
        <v>272</v>
      </c>
      <c r="H44" s="18">
        <v>92</v>
      </c>
      <c r="I44" s="18" t="s">
        <v>238</v>
      </c>
      <c r="J44" s="18" t="s">
        <v>253</v>
      </c>
      <c r="K44" s="18" t="s">
        <v>105</v>
      </c>
      <c r="L44" s="18" t="s">
        <v>254</v>
      </c>
      <c r="M44" s="18" t="s">
        <v>255</v>
      </c>
      <c r="N44" s="18" t="s">
        <v>162</v>
      </c>
      <c r="O44" s="18" t="s">
        <v>175</v>
      </c>
      <c r="P44" s="18" t="s">
        <v>256</v>
      </c>
      <c r="Q44" s="18">
        <f>IFERROR(MATCH(K44,Niveles!$B$2:$B$10,0),"")</f>
        <v>6</v>
      </c>
    </row>
    <row r="45" spans="1:17" x14ac:dyDescent="0.25">
      <c r="A45" s="18" t="s">
        <v>30</v>
      </c>
      <c r="B45" s="18">
        <v>1835</v>
      </c>
      <c r="C45" s="18" t="s">
        <v>249</v>
      </c>
      <c r="D45" s="18" t="s">
        <v>273</v>
      </c>
      <c r="E45" s="18" t="s">
        <v>274</v>
      </c>
      <c r="F45" s="18" t="s">
        <v>145</v>
      </c>
      <c r="G45" s="18" t="s">
        <v>275</v>
      </c>
      <c r="H45" s="18">
        <v>102</v>
      </c>
      <c r="I45" s="18" t="s">
        <v>238</v>
      </c>
      <c r="J45" s="18" t="s">
        <v>253</v>
      </c>
      <c r="K45" s="18" t="s">
        <v>105</v>
      </c>
      <c r="L45" s="18" t="s">
        <v>254</v>
      </c>
      <c r="M45" s="18" t="s">
        <v>255</v>
      </c>
      <c r="N45" s="18" t="s">
        <v>162</v>
      </c>
      <c r="O45" s="18" t="s">
        <v>175</v>
      </c>
      <c r="P45" s="18" t="s">
        <v>256</v>
      </c>
      <c r="Q45" s="18">
        <f>IFERROR(MATCH(K45,Niveles!$B$2:$B$10,0),"")</f>
        <v>6</v>
      </c>
    </row>
    <row r="46" spans="1:17" x14ac:dyDescent="0.25">
      <c r="A46" s="18" t="s">
        <v>30</v>
      </c>
      <c r="B46" s="18">
        <v>1835</v>
      </c>
      <c r="C46" s="18" t="s">
        <v>249</v>
      </c>
      <c r="D46" s="18" t="s">
        <v>276</v>
      </c>
      <c r="E46" s="18" t="s">
        <v>277</v>
      </c>
      <c r="F46" s="18" t="s">
        <v>145</v>
      </c>
      <c r="G46" s="18" t="s">
        <v>278</v>
      </c>
      <c r="H46" s="18">
        <v>105</v>
      </c>
      <c r="I46" s="18" t="s">
        <v>238</v>
      </c>
      <c r="J46" s="18" t="s">
        <v>253</v>
      </c>
      <c r="K46" s="18" t="s">
        <v>105</v>
      </c>
      <c r="L46" s="18" t="s">
        <v>254</v>
      </c>
      <c r="M46" s="18" t="s">
        <v>255</v>
      </c>
      <c r="N46" s="18" t="s">
        <v>162</v>
      </c>
      <c r="O46" s="18" t="s">
        <v>175</v>
      </c>
      <c r="P46" s="18" t="s">
        <v>256</v>
      </c>
      <c r="Q46" s="18">
        <f>IFERROR(MATCH(K46,Niveles!$B$2:$B$10,0),"")</f>
        <v>6</v>
      </c>
    </row>
    <row r="47" spans="1:17" x14ac:dyDescent="0.25">
      <c r="A47" s="18" t="s">
        <v>30</v>
      </c>
      <c r="B47" s="18">
        <v>1835</v>
      </c>
      <c r="C47" s="18" t="s">
        <v>279</v>
      </c>
      <c r="D47" s="18" t="s">
        <v>280</v>
      </c>
      <c r="E47" s="18" t="s">
        <v>281</v>
      </c>
      <c r="F47" s="18" t="s">
        <v>161</v>
      </c>
      <c r="G47" s="18" t="s">
        <v>282</v>
      </c>
      <c r="H47" s="18">
        <v>108</v>
      </c>
      <c r="I47" s="18" t="s">
        <v>238</v>
      </c>
      <c r="J47" s="18"/>
      <c r="K47" s="18"/>
      <c r="L47" s="18"/>
      <c r="M47" s="18"/>
      <c r="N47" s="18"/>
      <c r="O47" s="18" t="s">
        <v>163</v>
      </c>
      <c r="P47" s="18"/>
      <c r="Q47" s="18" t="str">
        <f>IFERROR(MATCH(K47,Niveles!$B$2:$B$10,0),"")</f>
        <v/>
      </c>
    </row>
    <row r="48" spans="1:17" x14ac:dyDescent="0.25">
      <c r="A48" s="18" t="s">
        <v>39</v>
      </c>
      <c r="B48" s="18">
        <v>1865</v>
      </c>
      <c r="C48" s="18" t="s">
        <v>159</v>
      </c>
      <c r="D48" s="18"/>
      <c r="E48" s="18" t="s">
        <v>283</v>
      </c>
      <c r="F48" s="18" t="s">
        <v>161</v>
      </c>
      <c r="G48" s="18"/>
      <c r="H48" s="18"/>
      <c r="I48" s="18" t="s">
        <v>284</v>
      </c>
      <c r="J48" s="18"/>
      <c r="K48" s="18"/>
      <c r="L48" s="18"/>
      <c r="M48" s="18"/>
      <c r="N48" s="18"/>
      <c r="O48" s="18" t="s">
        <v>163</v>
      </c>
      <c r="P48" s="18" t="s">
        <v>285</v>
      </c>
      <c r="Q48" s="18" t="str">
        <f>IFERROR(MATCH(K48,Niveles!$B$2:$B$10,0),"")</f>
        <v/>
      </c>
    </row>
    <row r="49" spans="1:17" x14ac:dyDescent="0.25">
      <c r="A49" s="18" t="s">
        <v>39</v>
      </c>
      <c r="B49" s="18">
        <v>1865</v>
      </c>
      <c r="C49" s="18" t="s">
        <v>159</v>
      </c>
      <c r="D49" s="18"/>
      <c r="E49" s="18" t="s">
        <v>286</v>
      </c>
      <c r="F49" s="18" t="s">
        <v>161</v>
      </c>
      <c r="G49" s="18"/>
      <c r="H49" s="18"/>
      <c r="I49" s="18" t="s">
        <v>284</v>
      </c>
      <c r="J49" s="18"/>
      <c r="K49" s="18"/>
      <c r="L49" s="18"/>
      <c r="M49" s="18"/>
      <c r="N49" s="18"/>
      <c r="O49" s="18" t="s">
        <v>163</v>
      </c>
      <c r="P49" s="18" t="s">
        <v>287</v>
      </c>
      <c r="Q49" s="18" t="str">
        <f>IFERROR(MATCH(K49,Niveles!$B$2:$B$10,0),"")</f>
        <v/>
      </c>
    </row>
    <row r="50" spans="1:17" x14ac:dyDescent="0.25">
      <c r="A50" s="18" t="s">
        <v>39</v>
      </c>
      <c r="B50" s="18">
        <v>1865</v>
      </c>
      <c r="C50" s="18" t="s">
        <v>288</v>
      </c>
      <c r="D50" s="18"/>
      <c r="E50" s="18" t="s">
        <v>289</v>
      </c>
      <c r="F50" s="18" t="s">
        <v>169</v>
      </c>
      <c r="G50" s="18" t="s">
        <v>112</v>
      </c>
      <c r="H50" s="18">
        <v>32</v>
      </c>
      <c r="I50" s="18" t="s">
        <v>238</v>
      </c>
      <c r="J50" s="18" t="s">
        <v>290</v>
      </c>
      <c r="K50" s="18" t="s">
        <v>103</v>
      </c>
      <c r="L50" s="18" t="s">
        <v>171</v>
      </c>
      <c r="M50" s="18" t="s">
        <v>255</v>
      </c>
      <c r="N50" s="18" t="s">
        <v>157</v>
      </c>
      <c r="O50" s="18" t="s">
        <v>163</v>
      </c>
      <c r="P50" s="18" t="s">
        <v>291</v>
      </c>
      <c r="Q50" s="18">
        <f>IFERROR(MATCH(K50,Niveles!$B$2:$B$10,0),"")</f>
        <v>2</v>
      </c>
    </row>
    <row r="51" spans="1:17" x14ac:dyDescent="0.25">
      <c r="A51" s="18" t="s">
        <v>39</v>
      </c>
      <c r="B51" s="18">
        <v>1865</v>
      </c>
      <c r="C51" s="18" t="s">
        <v>292</v>
      </c>
      <c r="D51" s="18"/>
      <c r="E51" s="18" t="s">
        <v>293</v>
      </c>
      <c r="F51" s="18" t="s">
        <v>169</v>
      </c>
      <c r="G51" s="18" t="s">
        <v>294</v>
      </c>
      <c r="H51" s="18">
        <v>49</v>
      </c>
      <c r="I51" s="18" t="s">
        <v>238</v>
      </c>
      <c r="J51" s="18" t="s">
        <v>290</v>
      </c>
      <c r="K51" s="18" t="s">
        <v>103</v>
      </c>
      <c r="L51" s="18" t="s">
        <v>171</v>
      </c>
      <c r="M51" s="18" t="s">
        <v>255</v>
      </c>
      <c r="N51" s="18" t="s">
        <v>157</v>
      </c>
      <c r="O51" s="18" t="s">
        <v>163</v>
      </c>
      <c r="P51" s="18" t="s">
        <v>295</v>
      </c>
      <c r="Q51" s="18">
        <f>IFERROR(MATCH(K51,Niveles!$B$2:$B$10,0),"")</f>
        <v>2</v>
      </c>
    </row>
    <row r="52" spans="1:17" x14ac:dyDescent="0.25">
      <c r="A52" s="18" t="s">
        <v>39</v>
      </c>
      <c r="B52" s="18">
        <v>1865</v>
      </c>
      <c r="C52" s="18" t="s">
        <v>258</v>
      </c>
      <c r="D52" s="18"/>
      <c r="E52" s="18" t="s">
        <v>296</v>
      </c>
      <c r="F52" s="18" t="s">
        <v>169</v>
      </c>
      <c r="G52" s="18" t="s">
        <v>297</v>
      </c>
      <c r="H52" s="18">
        <v>63</v>
      </c>
      <c r="I52" s="18" t="s">
        <v>238</v>
      </c>
      <c r="J52" s="18" t="s">
        <v>290</v>
      </c>
      <c r="K52" s="18" t="s">
        <v>103</v>
      </c>
      <c r="L52" s="18" t="s">
        <v>171</v>
      </c>
      <c r="M52" s="18" t="s">
        <v>255</v>
      </c>
      <c r="N52" s="18" t="s">
        <v>157</v>
      </c>
      <c r="O52" s="18" t="s">
        <v>163</v>
      </c>
      <c r="P52" s="18" t="s">
        <v>298</v>
      </c>
      <c r="Q52" s="18">
        <f>IFERROR(MATCH(K52,Niveles!$B$2:$B$10,0),"")</f>
        <v>2</v>
      </c>
    </row>
    <row r="53" spans="1:17" x14ac:dyDescent="0.25">
      <c r="A53" s="18" t="s">
        <v>39</v>
      </c>
      <c r="B53" s="18">
        <v>1865</v>
      </c>
      <c r="C53" s="18" t="s">
        <v>299</v>
      </c>
      <c r="D53" s="18"/>
      <c r="E53" s="18" t="s">
        <v>300</v>
      </c>
      <c r="F53" s="18" t="s">
        <v>169</v>
      </c>
      <c r="G53" s="18" t="s">
        <v>301</v>
      </c>
      <c r="H53" s="18">
        <v>77</v>
      </c>
      <c r="I53" s="18" t="s">
        <v>238</v>
      </c>
      <c r="J53" s="18" t="s">
        <v>290</v>
      </c>
      <c r="K53" s="18" t="s">
        <v>103</v>
      </c>
      <c r="L53" s="18" t="s">
        <v>171</v>
      </c>
      <c r="M53" s="18" t="s">
        <v>255</v>
      </c>
      <c r="N53" s="18" t="s">
        <v>157</v>
      </c>
      <c r="O53" s="18" t="s">
        <v>163</v>
      </c>
      <c r="P53" s="18" t="s">
        <v>302</v>
      </c>
      <c r="Q53" s="18">
        <f>IFERROR(MATCH(K53,Niveles!$B$2:$B$10,0),"")</f>
        <v>2</v>
      </c>
    </row>
    <row r="54" spans="1:17" x14ac:dyDescent="0.25">
      <c r="A54" s="18" t="s">
        <v>39</v>
      </c>
      <c r="B54" s="18">
        <v>1865</v>
      </c>
      <c r="C54" s="18" t="s">
        <v>229</v>
      </c>
      <c r="D54" s="18"/>
      <c r="E54" s="18" t="s">
        <v>303</v>
      </c>
      <c r="F54" s="18" t="s">
        <v>169</v>
      </c>
      <c r="G54" s="18" t="s">
        <v>304</v>
      </c>
      <c r="H54" s="18">
        <v>94</v>
      </c>
      <c r="I54" s="18" t="s">
        <v>238</v>
      </c>
      <c r="J54" s="18" t="s">
        <v>290</v>
      </c>
      <c r="K54" s="18" t="s">
        <v>103</v>
      </c>
      <c r="L54" s="18" t="s">
        <v>171</v>
      </c>
      <c r="M54" s="18" t="s">
        <v>255</v>
      </c>
      <c r="N54" s="18" t="s">
        <v>157</v>
      </c>
      <c r="O54" s="18" t="s">
        <v>163</v>
      </c>
      <c r="P54" s="18" t="s">
        <v>305</v>
      </c>
      <c r="Q54" s="18">
        <f>IFERROR(MATCH(K54,Niveles!$B$2:$B$10,0),"")</f>
        <v>2</v>
      </c>
    </row>
    <row r="55" spans="1:17" x14ac:dyDescent="0.25">
      <c r="A55" s="18" t="s">
        <v>39</v>
      </c>
      <c r="B55" s="18">
        <v>1865</v>
      </c>
      <c r="C55" s="18" t="s">
        <v>306</v>
      </c>
      <c r="D55" s="18"/>
      <c r="E55" s="18" t="s">
        <v>307</v>
      </c>
      <c r="F55" s="18" t="s">
        <v>169</v>
      </c>
      <c r="G55" s="18" t="s">
        <v>308</v>
      </c>
      <c r="H55" s="18">
        <v>122</v>
      </c>
      <c r="I55" s="18" t="s">
        <v>238</v>
      </c>
      <c r="J55" s="18" t="s">
        <v>290</v>
      </c>
      <c r="K55" s="18" t="s">
        <v>103</v>
      </c>
      <c r="L55" s="18" t="s">
        <v>171</v>
      </c>
      <c r="M55" s="18" t="s">
        <v>255</v>
      </c>
      <c r="N55" s="18" t="s">
        <v>157</v>
      </c>
      <c r="O55" s="18" t="s">
        <v>163</v>
      </c>
      <c r="P55" s="18" t="s">
        <v>309</v>
      </c>
      <c r="Q55" s="18">
        <f>IFERROR(MATCH(K55,Niveles!$B$2:$B$10,0),"")</f>
        <v>2</v>
      </c>
    </row>
    <row r="56" spans="1:17" x14ac:dyDescent="0.25">
      <c r="A56" s="18" t="s">
        <v>39</v>
      </c>
      <c r="B56" s="18">
        <v>1865</v>
      </c>
      <c r="C56" s="18" t="s">
        <v>263</v>
      </c>
      <c r="D56" s="18"/>
      <c r="E56" s="18" t="s">
        <v>310</v>
      </c>
      <c r="F56" s="18" t="s">
        <v>169</v>
      </c>
      <c r="G56" s="18" t="s">
        <v>311</v>
      </c>
      <c r="H56" s="18">
        <v>136</v>
      </c>
      <c r="I56" s="18" t="s">
        <v>238</v>
      </c>
      <c r="J56" s="18" t="s">
        <v>290</v>
      </c>
      <c r="K56" s="18" t="s">
        <v>103</v>
      </c>
      <c r="L56" s="18" t="s">
        <v>171</v>
      </c>
      <c r="M56" s="18" t="s">
        <v>255</v>
      </c>
      <c r="N56" s="18" t="s">
        <v>157</v>
      </c>
      <c r="O56" s="18" t="s">
        <v>163</v>
      </c>
      <c r="P56" s="18" t="s">
        <v>312</v>
      </c>
      <c r="Q56" s="18">
        <f>IFERROR(MATCH(K56,Niveles!$B$2:$B$10,0),"")</f>
        <v>2</v>
      </c>
    </row>
    <row r="57" spans="1:17" x14ac:dyDescent="0.25">
      <c r="A57" s="18" t="s">
        <v>39</v>
      </c>
      <c r="B57" s="18">
        <v>1865</v>
      </c>
      <c r="C57" s="18" t="s">
        <v>266</v>
      </c>
      <c r="D57" s="18"/>
      <c r="E57" s="18" t="s">
        <v>313</v>
      </c>
      <c r="F57" s="18" t="s">
        <v>169</v>
      </c>
      <c r="G57" s="18" t="s">
        <v>314</v>
      </c>
      <c r="H57" s="18">
        <v>160</v>
      </c>
      <c r="I57" s="18" t="s">
        <v>238</v>
      </c>
      <c r="J57" s="18" t="s">
        <v>290</v>
      </c>
      <c r="K57" s="18" t="s">
        <v>103</v>
      </c>
      <c r="L57" s="18" t="s">
        <v>171</v>
      </c>
      <c r="M57" s="18" t="s">
        <v>255</v>
      </c>
      <c r="N57" s="18" t="s">
        <v>157</v>
      </c>
      <c r="O57" s="18" t="s">
        <v>163</v>
      </c>
      <c r="P57" s="18" t="s">
        <v>315</v>
      </c>
      <c r="Q57" s="18">
        <f>IFERROR(MATCH(K57,Niveles!$B$2:$B$10,0),"")</f>
        <v>2</v>
      </c>
    </row>
    <row r="58" spans="1:17" x14ac:dyDescent="0.25">
      <c r="A58" s="18" t="s">
        <v>39</v>
      </c>
      <c r="B58" s="18">
        <v>1865</v>
      </c>
      <c r="C58" s="18" t="s">
        <v>217</v>
      </c>
      <c r="D58" s="18"/>
      <c r="E58" s="18" t="s">
        <v>316</v>
      </c>
      <c r="F58" s="18" t="s">
        <v>169</v>
      </c>
      <c r="G58" s="18" t="s">
        <v>317</v>
      </c>
      <c r="H58" s="18">
        <v>176</v>
      </c>
      <c r="I58" s="18" t="s">
        <v>238</v>
      </c>
      <c r="J58" s="18" t="s">
        <v>290</v>
      </c>
      <c r="K58" s="18" t="s">
        <v>103</v>
      </c>
      <c r="L58" s="18" t="s">
        <v>171</v>
      </c>
      <c r="M58" s="18" t="s">
        <v>255</v>
      </c>
      <c r="N58" s="18" t="s">
        <v>157</v>
      </c>
      <c r="O58" s="18" t="s">
        <v>163</v>
      </c>
      <c r="P58" s="18" t="s">
        <v>318</v>
      </c>
      <c r="Q58" s="18">
        <f>IFERROR(MATCH(K58,Niveles!$B$2:$B$10,0),"")</f>
        <v>2</v>
      </c>
    </row>
    <row r="59" spans="1:17" x14ac:dyDescent="0.25">
      <c r="A59" s="18" t="s">
        <v>39</v>
      </c>
      <c r="B59" s="18">
        <v>1865</v>
      </c>
      <c r="C59" s="18" t="s">
        <v>271</v>
      </c>
      <c r="D59" s="18"/>
      <c r="E59" s="18" t="s">
        <v>319</v>
      </c>
      <c r="F59" s="18" t="s">
        <v>169</v>
      </c>
      <c r="G59" s="18" t="s">
        <v>320</v>
      </c>
      <c r="H59" s="18">
        <v>198</v>
      </c>
      <c r="I59" s="18" t="s">
        <v>238</v>
      </c>
      <c r="J59" s="18" t="s">
        <v>290</v>
      </c>
      <c r="K59" s="18" t="s">
        <v>103</v>
      </c>
      <c r="L59" s="18" t="s">
        <v>171</v>
      </c>
      <c r="M59" s="18" t="s">
        <v>255</v>
      </c>
      <c r="N59" s="18" t="s">
        <v>157</v>
      </c>
      <c r="O59" s="18" t="s">
        <v>163</v>
      </c>
      <c r="P59" s="18" t="s">
        <v>321</v>
      </c>
      <c r="Q59" s="18">
        <f>IFERROR(MATCH(K59,Niveles!$B$2:$B$10,0),"")</f>
        <v>2</v>
      </c>
    </row>
    <row r="60" spans="1:17" x14ac:dyDescent="0.25">
      <c r="A60" s="18" t="s">
        <v>39</v>
      </c>
      <c r="B60" s="18">
        <v>1865</v>
      </c>
      <c r="C60" s="18" t="s">
        <v>205</v>
      </c>
      <c r="D60" s="18"/>
      <c r="E60" s="18" t="s">
        <v>322</v>
      </c>
      <c r="F60" s="18" t="s">
        <v>169</v>
      </c>
      <c r="G60" s="18" t="s">
        <v>323</v>
      </c>
      <c r="H60" s="18">
        <v>230</v>
      </c>
      <c r="I60" s="18" t="s">
        <v>238</v>
      </c>
      <c r="J60" s="18" t="s">
        <v>290</v>
      </c>
      <c r="K60" s="18" t="s">
        <v>103</v>
      </c>
      <c r="L60" s="18" t="s">
        <v>171</v>
      </c>
      <c r="M60" s="18" t="s">
        <v>255</v>
      </c>
      <c r="N60" s="18" t="s">
        <v>157</v>
      </c>
      <c r="O60" s="18" t="s">
        <v>163</v>
      </c>
      <c r="P60" s="18" t="s">
        <v>324</v>
      </c>
      <c r="Q60" s="18">
        <f>IFERROR(MATCH(K60,Niveles!$B$2:$B$10,0),"")</f>
        <v>2</v>
      </c>
    </row>
    <row r="61" spans="1:17" x14ac:dyDescent="0.25">
      <c r="A61" s="18" t="s">
        <v>39</v>
      </c>
      <c r="B61" s="18">
        <v>1865</v>
      </c>
      <c r="C61" s="18" t="s">
        <v>274</v>
      </c>
      <c r="D61" s="18"/>
      <c r="E61" s="18" t="s">
        <v>325</v>
      </c>
      <c r="F61" s="18" t="s">
        <v>169</v>
      </c>
      <c r="G61" s="18" t="s">
        <v>326</v>
      </c>
      <c r="H61" s="18">
        <v>262</v>
      </c>
      <c r="I61" s="18" t="s">
        <v>238</v>
      </c>
      <c r="J61" s="18" t="s">
        <v>290</v>
      </c>
      <c r="K61" s="18" t="s">
        <v>103</v>
      </c>
      <c r="L61" s="18" t="s">
        <v>171</v>
      </c>
      <c r="M61" s="18" t="s">
        <v>255</v>
      </c>
      <c r="N61" s="18" t="s">
        <v>157</v>
      </c>
      <c r="O61" s="18" t="s">
        <v>163</v>
      </c>
      <c r="P61" s="18" t="s">
        <v>327</v>
      </c>
      <c r="Q61" s="18">
        <f>IFERROR(MATCH(K61,Niveles!$B$2:$B$10,0),"")</f>
        <v>2</v>
      </c>
    </row>
    <row r="62" spans="1:17" x14ac:dyDescent="0.25">
      <c r="A62" s="18" t="s">
        <v>39</v>
      </c>
      <c r="B62" s="18">
        <v>1865</v>
      </c>
      <c r="C62" s="18" t="s">
        <v>277</v>
      </c>
      <c r="D62" s="18"/>
      <c r="E62" s="18" t="s">
        <v>328</v>
      </c>
      <c r="F62" s="18" t="s">
        <v>169</v>
      </c>
      <c r="G62" s="18" t="s">
        <v>329</v>
      </c>
      <c r="H62" s="18">
        <v>290</v>
      </c>
      <c r="I62" s="18" t="s">
        <v>238</v>
      </c>
      <c r="J62" s="18" t="s">
        <v>290</v>
      </c>
      <c r="K62" s="18" t="s">
        <v>103</v>
      </c>
      <c r="L62" s="18" t="s">
        <v>171</v>
      </c>
      <c r="M62" s="18" t="s">
        <v>255</v>
      </c>
      <c r="N62" s="18" t="s">
        <v>157</v>
      </c>
      <c r="O62" s="18" t="s">
        <v>163</v>
      </c>
      <c r="P62" s="18" t="s">
        <v>330</v>
      </c>
      <c r="Q62" s="18">
        <f>IFERROR(MATCH(K62,Niveles!$B$2:$B$10,0),"")</f>
        <v>2</v>
      </c>
    </row>
    <row r="63" spans="1:17" x14ac:dyDescent="0.25">
      <c r="A63" s="18" t="s">
        <v>39</v>
      </c>
      <c r="B63" s="18">
        <v>1865</v>
      </c>
      <c r="C63" s="18" t="s">
        <v>331</v>
      </c>
      <c r="D63" s="18"/>
      <c r="E63" s="18" t="s">
        <v>332</v>
      </c>
      <c r="F63" s="18" t="s">
        <v>169</v>
      </c>
      <c r="G63" s="18" t="s">
        <v>333</v>
      </c>
      <c r="H63" s="18">
        <v>322</v>
      </c>
      <c r="I63" s="18" t="s">
        <v>238</v>
      </c>
      <c r="J63" s="18" t="s">
        <v>290</v>
      </c>
      <c r="K63" s="18" t="s">
        <v>103</v>
      </c>
      <c r="L63" s="18" t="s">
        <v>171</v>
      </c>
      <c r="M63" s="18" t="s">
        <v>255</v>
      </c>
      <c r="N63" s="18" t="s">
        <v>157</v>
      </c>
      <c r="O63" s="18" t="s">
        <v>163</v>
      </c>
      <c r="P63" s="18" t="s">
        <v>334</v>
      </c>
      <c r="Q63" s="18">
        <f>IFERROR(MATCH(K63,Niveles!$B$2:$B$10,0),"")</f>
        <v>2</v>
      </c>
    </row>
    <row r="64" spans="1:17" x14ac:dyDescent="0.25">
      <c r="A64" s="18" t="s">
        <v>39</v>
      </c>
      <c r="B64" s="18">
        <v>1865</v>
      </c>
      <c r="C64" s="18" t="s">
        <v>335</v>
      </c>
      <c r="D64" s="18"/>
      <c r="E64" s="18" t="s">
        <v>336</v>
      </c>
      <c r="F64" s="18" t="s">
        <v>161</v>
      </c>
      <c r="G64" s="18" t="s">
        <v>337</v>
      </c>
      <c r="H64" s="18">
        <v>354</v>
      </c>
      <c r="I64" s="18" t="s">
        <v>238</v>
      </c>
      <c r="J64" s="18"/>
      <c r="K64" s="18"/>
      <c r="L64" s="18"/>
      <c r="M64" s="18"/>
      <c r="N64" s="18"/>
      <c r="O64" s="18" t="s">
        <v>163</v>
      </c>
      <c r="P64" s="18" t="s">
        <v>338</v>
      </c>
      <c r="Q64" s="18" t="str">
        <f>IFERROR(MATCH(K64,Niveles!$B$2:$B$10,0),"")</f>
        <v/>
      </c>
    </row>
    <row r="65" spans="1:17" x14ac:dyDescent="0.25">
      <c r="A65" s="18" t="s">
        <v>39</v>
      </c>
      <c r="B65" s="18">
        <v>1865</v>
      </c>
      <c r="C65" s="18" t="s">
        <v>335</v>
      </c>
      <c r="D65" s="18"/>
      <c r="E65" s="18" t="s">
        <v>339</v>
      </c>
      <c r="F65" s="18" t="s">
        <v>145</v>
      </c>
      <c r="G65" s="18" t="s">
        <v>340</v>
      </c>
      <c r="H65" s="18">
        <v>385</v>
      </c>
      <c r="I65" s="18" t="s">
        <v>162</v>
      </c>
      <c r="J65" s="18" t="s">
        <v>290</v>
      </c>
      <c r="K65" s="18" t="s">
        <v>105</v>
      </c>
      <c r="L65" s="18" t="s">
        <v>171</v>
      </c>
      <c r="M65" s="18" t="s">
        <v>255</v>
      </c>
      <c r="N65" s="18" t="s">
        <v>341</v>
      </c>
      <c r="O65" s="18" t="s">
        <v>175</v>
      </c>
      <c r="P65" s="18" t="s">
        <v>342</v>
      </c>
      <c r="Q65" s="18">
        <f>IFERROR(MATCH(K65,Niveles!$B$2:$B$10,0),"")</f>
        <v>6</v>
      </c>
    </row>
    <row r="66" spans="1:17" x14ac:dyDescent="0.25">
      <c r="A66" s="18" t="s">
        <v>39</v>
      </c>
      <c r="B66" s="18">
        <v>1865</v>
      </c>
      <c r="C66" s="18" t="s">
        <v>335</v>
      </c>
      <c r="D66" s="18"/>
      <c r="E66" s="18" t="s">
        <v>343</v>
      </c>
      <c r="F66" s="18" t="s">
        <v>145</v>
      </c>
      <c r="G66" s="18" t="s">
        <v>344</v>
      </c>
      <c r="H66" s="18">
        <v>387</v>
      </c>
      <c r="I66" s="18" t="s">
        <v>162</v>
      </c>
      <c r="J66" s="18"/>
      <c r="K66" s="18"/>
      <c r="L66" s="18"/>
      <c r="M66" s="18"/>
      <c r="N66" s="18"/>
      <c r="O66" s="18" t="s">
        <v>163</v>
      </c>
      <c r="P66" s="18" t="s">
        <v>345</v>
      </c>
      <c r="Q66" s="18" t="str">
        <f>IFERROR(MATCH(K66,Niveles!$B$2:$B$10,0),"")</f>
        <v/>
      </c>
    </row>
    <row r="67" spans="1:17" x14ac:dyDescent="0.25">
      <c r="A67" s="18" t="s">
        <v>39</v>
      </c>
      <c r="B67" s="18">
        <v>1865</v>
      </c>
      <c r="C67" s="18" t="s">
        <v>335</v>
      </c>
      <c r="D67" s="18"/>
      <c r="E67" s="18" t="s">
        <v>346</v>
      </c>
      <c r="F67" s="18" t="s">
        <v>145</v>
      </c>
      <c r="G67" s="18" t="s">
        <v>347</v>
      </c>
      <c r="H67" s="18">
        <v>389</v>
      </c>
      <c r="I67" s="18" t="s">
        <v>162</v>
      </c>
      <c r="J67" s="18"/>
      <c r="K67" s="18"/>
      <c r="L67" s="18"/>
      <c r="M67" s="18"/>
      <c r="N67" s="18"/>
      <c r="O67" s="18" t="s">
        <v>163</v>
      </c>
      <c r="P67" s="18"/>
      <c r="Q67" s="18" t="str">
        <f>IFERROR(MATCH(K67,Niveles!$B$2:$B$10,0),"")</f>
        <v/>
      </c>
    </row>
    <row r="68" spans="1:17" x14ac:dyDescent="0.25">
      <c r="A68" s="18" t="s">
        <v>39</v>
      </c>
      <c r="B68" s="18">
        <v>1865</v>
      </c>
      <c r="C68" s="18" t="s">
        <v>335</v>
      </c>
      <c r="D68" s="18"/>
      <c r="E68" s="18" t="s">
        <v>348</v>
      </c>
      <c r="F68" s="18" t="s">
        <v>145</v>
      </c>
      <c r="G68" s="18" t="s">
        <v>349</v>
      </c>
      <c r="H68" s="18">
        <v>391</v>
      </c>
      <c r="I68" s="18" t="s">
        <v>162</v>
      </c>
      <c r="J68" s="18"/>
      <c r="K68" s="18"/>
      <c r="L68" s="18"/>
      <c r="M68" s="18"/>
      <c r="N68" s="18"/>
      <c r="O68" s="18" t="s">
        <v>163</v>
      </c>
      <c r="P68" s="18"/>
      <c r="Q68" s="18" t="str">
        <f>IFERROR(MATCH(K68,Niveles!$B$2:$B$10,0),"")</f>
        <v/>
      </c>
    </row>
    <row r="69" spans="1:17" x14ac:dyDescent="0.25">
      <c r="A69" s="18" t="s">
        <v>39</v>
      </c>
      <c r="B69" s="18">
        <v>1865</v>
      </c>
      <c r="C69" s="18" t="s">
        <v>335</v>
      </c>
      <c r="D69" s="18"/>
      <c r="E69" s="18" t="s">
        <v>350</v>
      </c>
      <c r="F69" s="18" t="s">
        <v>145</v>
      </c>
      <c r="G69" s="18" t="s">
        <v>351</v>
      </c>
      <c r="H69" s="18">
        <v>393</v>
      </c>
      <c r="I69" s="18" t="s">
        <v>162</v>
      </c>
      <c r="J69" s="18" t="s">
        <v>290</v>
      </c>
      <c r="K69" s="18" t="s">
        <v>106</v>
      </c>
      <c r="L69" s="18" t="s">
        <v>171</v>
      </c>
      <c r="M69" s="18" t="s">
        <v>255</v>
      </c>
      <c r="N69" s="18" t="s">
        <v>162</v>
      </c>
      <c r="O69" s="18" t="s">
        <v>175</v>
      </c>
      <c r="P69" s="18" t="s">
        <v>352</v>
      </c>
      <c r="Q69" s="18">
        <f>IFERROR(MATCH(K69,Niveles!$B$2:$B$10,0),"")</f>
        <v>7</v>
      </c>
    </row>
    <row r="70" spans="1:17" x14ac:dyDescent="0.25">
      <c r="A70" s="18" t="s">
        <v>39</v>
      </c>
      <c r="B70" s="18">
        <v>1865</v>
      </c>
      <c r="C70" s="18" t="s">
        <v>335</v>
      </c>
      <c r="D70" s="18"/>
      <c r="E70" s="18" t="s">
        <v>353</v>
      </c>
      <c r="F70" s="18" t="s">
        <v>145</v>
      </c>
      <c r="G70" s="18" t="s">
        <v>354</v>
      </c>
      <c r="H70" s="18">
        <v>395</v>
      </c>
      <c r="I70" s="18" t="s">
        <v>162</v>
      </c>
      <c r="J70" s="18"/>
      <c r="K70" s="18"/>
      <c r="L70" s="18"/>
      <c r="M70" s="18"/>
      <c r="N70" s="18"/>
      <c r="O70" s="18" t="s">
        <v>163</v>
      </c>
      <c r="P70" s="18"/>
      <c r="Q70" s="18" t="str">
        <f>IFERROR(MATCH(K70,Niveles!$B$2:$B$10,0),"")</f>
        <v/>
      </c>
    </row>
    <row r="71" spans="1:17" x14ac:dyDescent="0.25">
      <c r="A71" s="18" t="s">
        <v>39</v>
      </c>
      <c r="B71" s="18">
        <v>1865</v>
      </c>
      <c r="C71" s="18" t="s">
        <v>335</v>
      </c>
      <c r="D71" s="18"/>
      <c r="E71" s="18" t="s">
        <v>355</v>
      </c>
      <c r="F71" s="18" t="s">
        <v>145</v>
      </c>
      <c r="G71" s="18" t="s">
        <v>356</v>
      </c>
      <c r="H71" s="18">
        <v>397</v>
      </c>
      <c r="I71" s="18" t="s">
        <v>162</v>
      </c>
      <c r="J71" s="18"/>
      <c r="K71" s="18"/>
      <c r="L71" s="18"/>
      <c r="M71" s="18"/>
      <c r="N71" s="18"/>
      <c r="O71" s="18" t="s">
        <v>163</v>
      </c>
      <c r="P71" s="18"/>
      <c r="Q71" s="18" t="str">
        <f>IFERROR(MATCH(K71,Niveles!$B$2:$B$10,0),"")</f>
        <v/>
      </c>
    </row>
    <row r="72" spans="1:17" x14ac:dyDescent="0.25">
      <c r="A72" s="18" t="s">
        <v>39</v>
      </c>
      <c r="B72" s="18">
        <v>1865</v>
      </c>
      <c r="C72" s="18" t="s">
        <v>335</v>
      </c>
      <c r="D72" s="18"/>
      <c r="E72" s="18" t="s">
        <v>357</v>
      </c>
      <c r="F72" s="18" t="s">
        <v>145</v>
      </c>
      <c r="G72" s="18" t="s">
        <v>358</v>
      </c>
      <c r="H72" s="18">
        <v>399</v>
      </c>
      <c r="I72" s="18" t="s">
        <v>162</v>
      </c>
      <c r="J72" s="18"/>
      <c r="K72" s="18"/>
      <c r="L72" s="18"/>
      <c r="M72" s="18"/>
      <c r="N72" s="18"/>
      <c r="O72" s="18" t="s">
        <v>163</v>
      </c>
      <c r="P72" s="18"/>
      <c r="Q72" s="18" t="str">
        <f>IFERROR(MATCH(K72,Niveles!$B$2:$B$10,0),"")</f>
        <v/>
      </c>
    </row>
    <row r="73" spans="1:17" x14ac:dyDescent="0.25">
      <c r="A73" s="18" t="s">
        <v>39</v>
      </c>
      <c r="B73" s="18">
        <v>1865</v>
      </c>
      <c r="C73" s="18" t="s">
        <v>335</v>
      </c>
      <c r="D73" s="18"/>
      <c r="E73" s="18" t="s">
        <v>359</v>
      </c>
      <c r="F73" s="18" t="s">
        <v>145</v>
      </c>
      <c r="G73" s="18" t="s">
        <v>360</v>
      </c>
      <c r="H73" s="18">
        <v>401</v>
      </c>
      <c r="I73" s="18" t="s">
        <v>162</v>
      </c>
      <c r="J73" s="18"/>
      <c r="K73" s="18"/>
      <c r="L73" s="18"/>
      <c r="M73" s="18"/>
      <c r="N73" s="18"/>
      <c r="O73" s="18" t="s">
        <v>163</v>
      </c>
      <c r="P73" s="18"/>
      <c r="Q73" s="18" t="str">
        <f>IFERROR(MATCH(K73,Niveles!$B$2:$B$10,0),"")</f>
        <v/>
      </c>
    </row>
    <row r="74" spans="1:17" x14ac:dyDescent="0.25">
      <c r="A74" s="18" t="s">
        <v>39</v>
      </c>
      <c r="B74" s="18">
        <v>1865</v>
      </c>
      <c r="C74" s="18" t="s">
        <v>335</v>
      </c>
      <c r="D74" s="18"/>
      <c r="E74" s="18" t="s">
        <v>361</v>
      </c>
      <c r="F74" s="18" t="s">
        <v>145</v>
      </c>
      <c r="G74" s="18" t="s">
        <v>362</v>
      </c>
      <c r="H74" s="18">
        <v>404</v>
      </c>
      <c r="I74" s="18" t="s">
        <v>162</v>
      </c>
      <c r="J74" s="18"/>
      <c r="K74" s="18"/>
      <c r="L74" s="18"/>
      <c r="M74" s="18"/>
      <c r="N74" s="18"/>
      <c r="O74" s="18" t="s">
        <v>163</v>
      </c>
      <c r="P74" s="18"/>
      <c r="Q74" s="18" t="str">
        <f>IFERROR(MATCH(K74,Niveles!$B$2:$B$10,0),"")</f>
        <v/>
      </c>
    </row>
    <row r="75" spans="1:17" x14ac:dyDescent="0.25">
      <c r="A75" s="18" t="s">
        <v>39</v>
      </c>
      <c r="B75" s="18">
        <v>1865</v>
      </c>
      <c r="C75" s="18" t="s">
        <v>335</v>
      </c>
      <c r="D75" s="18"/>
      <c r="E75" s="18" t="s">
        <v>363</v>
      </c>
      <c r="F75" s="18" t="s">
        <v>145</v>
      </c>
      <c r="G75" s="18" t="s">
        <v>364</v>
      </c>
      <c r="H75" s="18">
        <v>405</v>
      </c>
      <c r="I75" s="18" t="s">
        <v>162</v>
      </c>
      <c r="J75" s="18"/>
      <c r="K75" s="18"/>
      <c r="L75" s="18"/>
      <c r="M75" s="18"/>
      <c r="N75" s="18"/>
      <c r="O75" s="18" t="s">
        <v>163</v>
      </c>
      <c r="P75" s="18"/>
      <c r="Q75" s="18" t="str">
        <f>IFERROR(MATCH(K75,Niveles!$B$2:$B$10,0),"")</f>
        <v/>
      </c>
    </row>
    <row r="76" spans="1:17" x14ac:dyDescent="0.25">
      <c r="A76" s="18" t="s">
        <v>39</v>
      </c>
      <c r="B76" s="18">
        <v>1865</v>
      </c>
      <c r="C76" s="18" t="s">
        <v>335</v>
      </c>
      <c r="D76" s="18"/>
      <c r="E76" s="18" t="s">
        <v>365</v>
      </c>
      <c r="F76" s="18" t="s">
        <v>145</v>
      </c>
      <c r="G76" s="18" t="s">
        <v>366</v>
      </c>
      <c r="H76" s="18">
        <v>414</v>
      </c>
      <c r="I76" s="18" t="s">
        <v>162</v>
      </c>
      <c r="J76" s="18"/>
      <c r="K76" s="18"/>
      <c r="L76" s="18"/>
      <c r="M76" s="18"/>
      <c r="N76" s="18"/>
      <c r="O76" s="18" t="s">
        <v>163</v>
      </c>
      <c r="P76" s="18"/>
      <c r="Q76" s="18" t="str">
        <f>IFERROR(MATCH(K76,Niveles!$B$2:$B$10,0),"")</f>
        <v/>
      </c>
    </row>
    <row r="77" spans="1:17" x14ac:dyDescent="0.25">
      <c r="A77" s="18" t="s">
        <v>39</v>
      </c>
      <c r="B77" s="18">
        <v>1865</v>
      </c>
      <c r="C77" s="18" t="s">
        <v>335</v>
      </c>
      <c r="D77" s="18"/>
      <c r="E77" s="18" t="s">
        <v>367</v>
      </c>
      <c r="F77" s="18" t="s">
        <v>145</v>
      </c>
      <c r="G77" s="18" t="s">
        <v>368</v>
      </c>
      <c r="H77" s="18">
        <v>415</v>
      </c>
      <c r="I77" s="18" t="s">
        <v>162</v>
      </c>
      <c r="J77" s="18"/>
      <c r="K77" s="18"/>
      <c r="L77" s="18"/>
      <c r="M77" s="18"/>
      <c r="N77" s="18"/>
      <c r="O77" s="18" t="s">
        <v>163</v>
      </c>
      <c r="P77" s="18"/>
      <c r="Q77" s="18" t="str">
        <f>IFERROR(MATCH(K77,Niveles!$B$2:$B$10,0),"")</f>
        <v/>
      </c>
    </row>
    <row r="78" spans="1:17" x14ac:dyDescent="0.25">
      <c r="A78" s="18" t="s">
        <v>39</v>
      </c>
      <c r="B78" s="18">
        <v>1865</v>
      </c>
      <c r="C78" s="18" t="s">
        <v>335</v>
      </c>
      <c r="D78" s="18"/>
      <c r="E78" s="18" t="s">
        <v>369</v>
      </c>
      <c r="F78" s="18" t="s">
        <v>145</v>
      </c>
      <c r="G78" s="18" t="s">
        <v>370</v>
      </c>
      <c r="H78" s="18">
        <v>419</v>
      </c>
      <c r="I78" s="18" t="s">
        <v>162</v>
      </c>
      <c r="J78" s="18" t="s">
        <v>290</v>
      </c>
      <c r="K78" s="18" t="s">
        <v>371</v>
      </c>
      <c r="L78" s="18" t="s">
        <v>171</v>
      </c>
      <c r="M78" s="18" t="s">
        <v>255</v>
      </c>
      <c r="N78" s="18" t="s">
        <v>341</v>
      </c>
      <c r="O78" s="18" t="s">
        <v>163</v>
      </c>
      <c r="P78" s="18"/>
      <c r="Q78" s="18">
        <f>IFERROR(MATCH(K78,Niveles!$B$2:$B$10,0),"")</f>
        <v>4</v>
      </c>
    </row>
    <row r="79" spans="1:17" x14ac:dyDescent="0.25">
      <c r="A79" s="18" t="s">
        <v>39</v>
      </c>
      <c r="B79" s="18">
        <v>1865</v>
      </c>
      <c r="C79" s="18" t="s">
        <v>335</v>
      </c>
      <c r="D79" s="18"/>
      <c r="E79" s="18" t="s">
        <v>372</v>
      </c>
      <c r="F79" s="18" t="s">
        <v>145</v>
      </c>
      <c r="G79" s="18" t="s">
        <v>373</v>
      </c>
      <c r="H79" s="18">
        <v>425</v>
      </c>
      <c r="I79" s="18" t="s">
        <v>162</v>
      </c>
      <c r="J79" s="18" t="s">
        <v>374</v>
      </c>
      <c r="K79" s="18" t="s">
        <v>105</v>
      </c>
      <c r="L79" s="18"/>
      <c r="M79" s="18" t="s">
        <v>255</v>
      </c>
      <c r="N79" s="18" t="s">
        <v>162</v>
      </c>
      <c r="O79" s="18" t="s">
        <v>175</v>
      </c>
      <c r="P79" s="18" t="s">
        <v>375</v>
      </c>
      <c r="Q79" s="18">
        <f>IFERROR(MATCH(K79,Niveles!$B$2:$B$10,0),"")</f>
        <v>6</v>
      </c>
    </row>
    <row r="80" spans="1:17" x14ac:dyDescent="0.25">
      <c r="A80" s="18" t="s">
        <v>43</v>
      </c>
      <c r="B80" s="18">
        <v>1875</v>
      </c>
      <c r="C80" s="18" t="s">
        <v>159</v>
      </c>
      <c r="D80" s="18"/>
      <c r="E80" s="18" t="s">
        <v>376</v>
      </c>
      <c r="F80" s="18" t="s">
        <v>161</v>
      </c>
      <c r="G80" s="18"/>
      <c r="H80" s="18"/>
      <c r="I80" s="18" t="s">
        <v>284</v>
      </c>
      <c r="J80" s="18"/>
      <c r="K80" s="18"/>
      <c r="L80" s="18"/>
      <c r="M80" s="18"/>
      <c r="N80" s="18"/>
      <c r="O80" s="18" t="s">
        <v>163</v>
      </c>
      <c r="P80" s="18" t="s">
        <v>377</v>
      </c>
      <c r="Q80" s="18" t="str">
        <f>IFERROR(MATCH(K80,Niveles!$B$2:$B$10,0),"")</f>
        <v/>
      </c>
    </row>
    <row r="81" spans="1:17" x14ac:dyDescent="0.25">
      <c r="A81" s="18" t="s">
        <v>43</v>
      </c>
      <c r="B81" s="18">
        <v>1875</v>
      </c>
      <c r="C81" s="18" t="s">
        <v>378</v>
      </c>
      <c r="D81" s="18"/>
      <c r="E81" s="18" t="s">
        <v>379</v>
      </c>
      <c r="F81" s="18" t="s">
        <v>169</v>
      </c>
      <c r="G81" s="18" t="s">
        <v>112</v>
      </c>
      <c r="H81" s="18">
        <v>57</v>
      </c>
      <c r="I81" s="18" t="s">
        <v>238</v>
      </c>
      <c r="J81" s="18" t="s">
        <v>380</v>
      </c>
      <c r="K81" s="18" t="s">
        <v>103</v>
      </c>
      <c r="L81" s="18" t="s">
        <v>171</v>
      </c>
      <c r="M81" s="18" t="s">
        <v>255</v>
      </c>
      <c r="N81" s="18" t="s">
        <v>157</v>
      </c>
      <c r="O81" s="18" t="s">
        <v>163</v>
      </c>
      <c r="P81" s="18" t="s">
        <v>381</v>
      </c>
      <c r="Q81" s="18">
        <f>IFERROR(MATCH(K81,Niveles!$B$2:$B$10,0),"")</f>
        <v>2</v>
      </c>
    </row>
    <row r="82" spans="1:17" x14ac:dyDescent="0.25">
      <c r="A82" s="18" t="s">
        <v>43</v>
      </c>
      <c r="B82" s="18">
        <v>1875</v>
      </c>
      <c r="C82" s="18" t="s">
        <v>251</v>
      </c>
      <c r="D82" s="18"/>
      <c r="E82" s="18" t="s">
        <v>382</v>
      </c>
      <c r="F82" s="18" t="s">
        <v>169</v>
      </c>
      <c r="G82" s="18" t="s">
        <v>383</v>
      </c>
      <c r="H82" s="18">
        <v>68</v>
      </c>
      <c r="I82" s="18" t="s">
        <v>238</v>
      </c>
      <c r="J82" s="18" t="s">
        <v>380</v>
      </c>
      <c r="K82" s="18" t="s">
        <v>103</v>
      </c>
      <c r="L82" s="18" t="s">
        <v>171</v>
      </c>
      <c r="M82" s="18" t="s">
        <v>255</v>
      </c>
      <c r="N82" s="18" t="s">
        <v>157</v>
      </c>
      <c r="O82" s="18" t="s">
        <v>163</v>
      </c>
      <c r="P82" s="18" t="s">
        <v>384</v>
      </c>
      <c r="Q82" s="18">
        <f>IFERROR(MATCH(K82,Niveles!$B$2:$B$10,0),"")</f>
        <v>2</v>
      </c>
    </row>
    <row r="83" spans="1:17" x14ac:dyDescent="0.25">
      <c r="A83" s="18" t="s">
        <v>43</v>
      </c>
      <c r="B83" s="18">
        <v>1875</v>
      </c>
      <c r="C83" s="18" t="s">
        <v>292</v>
      </c>
      <c r="D83" s="18"/>
      <c r="E83" s="18" t="s">
        <v>293</v>
      </c>
      <c r="F83" s="18" t="s">
        <v>169</v>
      </c>
      <c r="G83" s="18" t="s">
        <v>385</v>
      </c>
      <c r="H83" s="18">
        <v>92</v>
      </c>
      <c r="I83" s="18" t="s">
        <v>238</v>
      </c>
      <c r="J83" s="18" t="s">
        <v>380</v>
      </c>
      <c r="K83" s="18" t="s">
        <v>103</v>
      </c>
      <c r="L83" s="18" t="s">
        <v>171</v>
      </c>
      <c r="M83" s="18" t="s">
        <v>255</v>
      </c>
      <c r="N83" s="18" t="s">
        <v>157</v>
      </c>
      <c r="O83" s="18" t="s">
        <v>163</v>
      </c>
      <c r="P83" s="18" t="s">
        <v>386</v>
      </c>
      <c r="Q83" s="18">
        <f>IFERROR(MATCH(K83,Niveles!$B$2:$B$10,0),"")</f>
        <v>2</v>
      </c>
    </row>
    <row r="84" spans="1:17" x14ac:dyDescent="0.25">
      <c r="A84" s="18" t="s">
        <v>43</v>
      </c>
      <c r="B84" s="18">
        <v>1875</v>
      </c>
      <c r="C84" s="18" t="s">
        <v>258</v>
      </c>
      <c r="D84" s="18"/>
      <c r="E84" s="18" t="s">
        <v>296</v>
      </c>
      <c r="F84" s="18" t="s">
        <v>169</v>
      </c>
      <c r="G84" s="18" t="s">
        <v>387</v>
      </c>
      <c r="H84" s="18">
        <v>116</v>
      </c>
      <c r="I84" s="18" t="s">
        <v>238</v>
      </c>
      <c r="J84" s="18" t="s">
        <v>380</v>
      </c>
      <c r="K84" s="18" t="s">
        <v>103</v>
      </c>
      <c r="L84" s="18" t="s">
        <v>171</v>
      </c>
      <c r="M84" s="18" t="s">
        <v>255</v>
      </c>
      <c r="N84" s="18" t="s">
        <v>157</v>
      </c>
      <c r="O84" s="18" t="s">
        <v>163</v>
      </c>
      <c r="P84" s="18" t="s">
        <v>388</v>
      </c>
      <c r="Q84" s="18">
        <f>IFERROR(MATCH(K84,Niveles!$B$2:$B$10,0),"")</f>
        <v>2</v>
      </c>
    </row>
    <row r="85" spans="1:17" x14ac:dyDescent="0.25">
      <c r="A85" s="18" t="s">
        <v>43</v>
      </c>
      <c r="B85" s="18">
        <v>1875</v>
      </c>
      <c r="C85" s="18" t="s">
        <v>299</v>
      </c>
      <c r="D85" s="18"/>
      <c r="E85" s="18" t="s">
        <v>300</v>
      </c>
      <c r="F85" s="18" t="s">
        <v>169</v>
      </c>
      <c r="G85" s="18" t="s">
        <v>389</v>
      </c>
      <c r="H85" s="18">
        <v>136</v>
      </c>
      <c r="I85" s="18" t="s">
        <v>238</v>
      </c>
      <c r="J85" s="18" t="s">
        <v>380</v>
      </c>
      <c r="K85" s="18" t="s">
        <v>103</v>
      </c>
      <c r="L85" s="18" t="s">
        <v>171</v>
      </c>
      <c r="M85" s="18" t="s">
        <v>255</v>
      </c>
      <c r="N85" s="18" t="s">
        <v>157</v>
      </c>
      <c r="O85" s="18" t="s">
        <v>163</v>
      </c>
      <c r="P85" s="18" t="s">
        <v>390</v>
      </c>
      <c r="Q85" s="18">
        <f>IFERROR(MATCH(K85,Niveles!$B$2:$B$10,0),"")</f>
        <v>2</v>
      </c>
    </row>
    <row r="86" spans="1:17" x14ac:dyDescent="0.25">
      <c r="A86" s="18" t="s">
        <v>43</v>
      </c>
      <c r="B86" s="18">
        <v>1875</v>
      </c>
      <c r="C86" s="18" t="s">
        <v>391</v>
      </c>
      <c r="D86" s="18"/>
      <c r="E86" s="18" t="s">
        <v>392</v>
      </c>
      <c r="F86" s="18" t="s">
        <v>169</v>
      </c>
      <c r="G86" s="18" t="s">
        <v>393</v>
      </c>
      <c r="H86" s="18">
        <v>159</v>
      </c>
      <c r="I86" s="18" t="s">
        <v>238</v>
      </c>
      <c r="J86" s="18" t="s">
        <v>380</v>
      </c>
      <c r="K86" s="18" t="s">
        <v>103</v>
      </c>
      <c r="L86" s="18" t="s">
        <v>171</v>
      </c>
      <c r="M86" s="18" t="s">
        <v>255</v>
      </c>
      <c r="N86" s="18" t="s">
        <v>157</v>
      </c>
      <c r="O86" s="18" t="s">
        <v>163</v>
      </c>
      <c r="P86" s="18" t="s">
        <v>394</v>
      </c>
      <c r="Q86" s="18">
        <f>IFERROR(MATCH(K86,Niveles!$B$2:$B$10,0),"")</f>
        <v>2</v>
      </c>
    </row>
    <row r="87" spans="1:17" x14ac:dyDescent="0.25">
      <c r="A87" s="18" t="s">
        <v>43</v>
      </c>
      <c r="B87" s="18">
        <v>1875</v>
      </c>
      <c r="C87" s="18" t="s">
        <v>395</v>
      </c>
      <c r="D87" s="18"/>
      <c r="E87" s="18" t="s">
        <v>396</v>
      </c>
      <c r="F87" s="18" t="s">
        <v>169</v>
      </c>
      <c r="G87" s="18" t="s">
        <v>397</v>
      </c>
      <c r="H87" s="18">
        <v>166</v>
      </c>
      <c r="I87" s="18" t="s">
        <v>238</v>
      </c>
      <c r="J87" s="18" t="s">
        <v>380</v>
      </c>
      <c r="K87" s="18" t="s">
        <v>103</v>
      </c>
      <c r="L87" s="18" t="s">
        <v>171</v>
      </c>
      <c r="M87" s="18" t="s">
        <v>255</v>
      </c>
      <c r="N87" s="18" t="s">
        <v>157</v>
      </c>
      <c r="O87" s="18" t="s">
        <v>163</v>
      </c>
      <c r="P87" s="18" t="s">
        <v>398</v>
      </c>
      <c r="Q87" s="18">
        <f>IFERROR(MATCH(K87,Niveles!$B$2:$B$10,0),"")</f>
        <v>2</v>
      </c>
    </row>
    <row r="88" spans="1:17" x14ac:dyDescent="0.25">
      <c r="A88" s="18" t="s">
        <v>43</v>
      </c>
      <c r="B88" s="18">
        <v>1875</v>
      </c>
      <c r="C88" s="18" t="s">
        <v>229</v>
      </c>
      <c r="D88" s="18"/>
      <c r="E88" s="18" t="s">
        <v>303</v>
      </c>
      <c r="F88" s="18" t="s">
        <v>169</v>
      </c>
      <c r="G88" s="18" t="s">
        <v>399</v>
      </c>
      <c r="H88" s="18">
        <v>195</v>
      </c>
      <c r="I88" s="18" t="s">
        <v>238</v>
      </c>
      <c r="J88" s="18" t="s">
        <v>380</v>
      </c>
      <c r="K88" s="18" t="s">
        <v>103</v>
      </c>
      <c r="L88" s="18" t="s">
        <v>171</v>
      </c>
      <c r="M88" s="18" t="s">
        <v>255</v>
      </c>
      <c r="N88" s="18" t="s">
        <v>157</v>
      </c>
      <c r="O88" s="18" t="s">
        <v>163</v>
      </c>
      <c r="P88" s="18" t="s">
        <v>400</v>
      </c>
      <c r="Q88" s="18">
        <f>IFERROR(MATCH(K88,Niveles!$B$2:$B$10,0),"")</f>
        <v>2</v>
      </c>
    </row>
    <row r="89" spans="1:17" x14ac:dyDescent="0.25">
      <c r="A89" s="18" t="s">
        <v>43</v>
      </c>
      <c r="B89" s="18">
        <v>1875</v>
      </c>
      <c r="C89" s="18" t="s">
        <v>306</v>
      </c>
      <c r="D89" s="18"/>
      <c r="E89" s="18" t="s">
        <v>307</v>
      </c>
      <c r="F89" s="18" t="s">
        <v>169</v>
      </c>
      <c r="G89" s="18" t="s">
        <v>401</v>
      </c>
      <c r="H89" s="18">
        <v>237</v>
      </c>
      <c r="I89" s="18" t="s">
        <v>238</v>
      </c>
      <c r="J89" s="18" t="s">
        <v>380</v>
      </c>
      <c r="K89" s="18" t="s">
        <v>103</v>
      </c>
      <c r="L89" s="18" t="s">
        <v>171</v>
      </c>
      <c r="M89" s="18" t="s">
        <v>255</v>
      </c>
      <c r="N89" s="18" t="s">
        <v>157</v>
      </c>
      <c r="O89" s="18" t="s">
        <v>163</v>
      </c>
      <c r="P89" s="18" t="s">
        <v>402</v>
      </c>
      <c r="Q89" s="18">
        <f>IFERROR(MATCH(K89,Niveles!$B$2:$B$10,0),"")</f>
        <v>2</v>
      </c>
    </row>
    <row r="90" spans="1:17" x14ac:dyDescent="0.25">
      <c r="A90" s="18" t="s">
        <v>43</v>
      </c>
      <c r="B90" s="18">
        <v>1875</v>
      </c>
      <c r="C90" s="18" t="s">
        <v>263</v>
      </c>
      <c r="D90" s="18"/>
      <c r="E90" s="18" t="s">
        <v>310</v>
      </c>
      <c r="F90" s="18" t="s">
        <v>169</v>
      </c>
      <c r="G90" s="18" t="s">
        <v>282</v>
      </c>
      <c r="H90" s="18">
        <v>263</v>
      </c>
      <c r="I90" s="18" t="s">
        <v>238</v>
      </c>
      <c r="J90" s="18" t="s">
        <v>380</v>
      </c>
      <c r="K90" s="18" t="s">
        <v>103</v>
      </c>
      <c r="L90" s="18" t="s">
        <v>171</v>
      </c>
      <c r="M90" s="18" t="s">
        <v>255</v>
      </c>
      <c r="N90" s="18" t="s">
        <v>157</v>
      </c>
      <c r="O90" s="18" t="s">
        <v>163</v>
      </c>
      <c r="P90" s="18" t="s">
        <v>403</v>
      </c>
      <c r="Q90" s="18">
        <f>IFERROR(MATCH(K90,Niveles!$B$2:$B$10,0),"")</f>
        <v>2</v>
      </c>
    </row>
    <row r="91" spans="1:17" x14ac:dyDescent="0.25">
      <c r="A91" s="18" t="s">
        <v>43</v>
      </c>
      <c r="B91" s="18">
        <v>1875</v>
      </c>
      <c r="C91" s="18" t="s">
        <v>404</v>
      </c>
      <c r="D91" s="18"/>
      <c r="E91" s="18" t="s">
        <v>405</v>
      </c>
      <c r="F91" s="18" t="s">
        <v>169</v>
      </c>
      <c r="G91" s="18" t="s">
        <v>406</v>
      </c>
      <c r="H91" s="18">
        <v>288</v>
      </c>
      <c r="I91" s="18" t="s">
        <v>238</v>
      </c>
      <c r="J91" s="18" t="s">
        <v>380</v>
      </c>
      <c r="K91" s="18" t="s">
        <v>103</v>
      </c>
      <c r="L91" s="18" t="s">
        <v>171</v>
      </c>
      <c r="M91" s="18" t="s">
        <v>255</v>
      </c>
      <c r="N91" s="18" t="s">
        <v>157</v>
      </c>
      <c r="O91" s="18" t="s">
        <v>163</v>
      </c>
      <c r="P91" s="18" t="s">
        <v>407</v>
      </c>
      <c r="Q91" s="18">
        <f>IFERROR(MATCH(K91,Niveles!$B$2:$B$10,0),"")</f>
        <v>2</v>
      </c>
    </row>
    <row r="92" spans="1:17" x14ac:dyDescent="0.25">
      <c r="A92" s="18" t="s">
        <v>43</v>
      </c>
      <c r="B92" s="18">
        <v>1875</v>
      </c>
      <c r="C92" s="18" t="s">
        <v>266</v>
      </c>
      <c r="D92" s="18"/>
      <c r="E92" s="18" t="s">
        <v>313</v>
      </c>
      <c r="F92" s="18" t="s">
        <v>169</v>
      </c>
      <c r="G92" s="18" t="s">
        <v>408</v>
      </c>
      <c r="H92" s="18">
        <v>310</v>
      </c>
      <c r="I92" s="18" t="s">
        <v>238</v>
      </c>
      <c r="J92" s="18" t="s">
        <v>380</v>
      </c>
      <c r="K92" s="18" t="s">
        <v>103</v>
      </c>
      <c r="L92" s="18" t="s">
        <v>171</v>
      </c>
      <c r="M92" s="18" t="s">
        <v>255</v>
      </c>
      <c r="N92" s="18" t="s">
        <v>157</v>
      </c>
      <c r="O92" s="18" t="s">
        <v>163</v>
      </c>
      <c r="P92" s="18" t="s">
        <v>409</v>
      </c>
      <c r="Q92" s="18">
        <f>IFERROR(MATCH(K92,Niveles!$B$2:$B$10,0),"")</f>
        <v>2</v>
      </c>
    </row>
    <row r="93" spans="1:17" x14ac:dyDescent="0.25">
      <c r="A93" s="18" t="s">
        <v>43</v>
      </c>
      <c r="B93" s="18">
        <v>1875</v>
      </c>
      <c r="C93" s="18" t="s">
        <v>221</v>
      </c>
      <c r="D93" s="18"/>
      <c r="E93" s="18" t="s">
        <v>410</v>
      </c>
      <c r="F93" s="18" t="s">
        <v>169</v>
      </c>
      <c r="G93" s="18" t="s">
        <v>411</v>
      </c>
      <c r="H93" s="18">
        <v>336</v>
      </c>
      <c r="I93" s="18" t="s">
        <v>238</v>
      </c>
      <c r="J93" s="18" t="s">
        <v>380</v>
      </c>
      <c r="K93" s="18" t="s">
        <v>103</v>
      </c>
      <c r="L93" s="18" t="s">
        <v>171</v>
      </c>
      <c r="M93" s="18" t="s">
        <v>255</v>
      </c>
      <c r="N93" s="18" t="s">
        <v>157</v>
      </c>
      <c r="O93" s="18" t="s">
        <v>163</v>
      </c>
      <c r="P93" s="18" t="s">
        <v>412</v>
      </c>
      <c r="Q93" s="18">
        <f>IFERROR(MATCH(K93,Niveles!$B$2:$B$10,0),"")</f>
        <v>2</v>
      </c>
    </row>
    <row r="94" spans="1:17" x14ac:dyDescent="0.25">
      <c r="A94" s="18" t="s">
        <v>43</v>
      </c>
      <c r="B94" s="18">
        <v>1875</v>
      </c>
      <c r="C94" s="18" t="s">
        <v>217</v>
      </c>
      <c r="D94" s="18"/>
      <c r="E94" s="18" t="s">
        <v>316</v>
      </c>
      <c r="F94" s="18" t="s">
        <v>169</v>
      </c>
      <c r="G94" s="18" t="s">
        <v>413</v>
      </c>
      <c r="H94" s="18">
        <v>358</v>
      </c>
      <c r="I94" s="18" t="s">
        <v>238</v>
      </c>
      <c r="J94" s="18" t="s">
        <v>380</v>
      </c>
      <c r="K94" s="18" t="s">
        <v>103</v>
      </c>
      <c r="L94" s="18" t="s">
        <v>171</v>
      </c>
      <c r="M94" s="18" t="s">
        <v>255</v>
      </c>
      <c r="N94" s="18" t="s">
        <v>157</v>
      </c>
      <c r="O94" s="18" t="s">
        <v>163</v>
      </c>
      <c r="P94" s="18" t="s">
        <v>414</v>
      </c>
      <c r="Q94" s="18">
        <f>IFERROR(MATCH(K94,Niveles!$B$2:$B$10,0),"")</f>
        <v>2</v>
      </c>
    </row>
    <row r="95" spans="1:17" x14ac:dyDescent="0.25">
      <c r="A95" s="18" t="s">
        <v>43</v>
      </c>
      <c r="B95" s="18">
        <v>1875</v>
      </c>
      <c r="C95" s="18" t="s">
        <v>271</v>
      </c>
      <c r="D95" s="18"/>
      <c r="E95" s="18" t="s">
        <v>319</v>
      </c>
      <c r="F95" s="18" t="s">
        <v>169</v>
      </c>
      <c r="G95" s="18" t="s">
        <v>415</v>
      </c>
      <c r="H95" s="18">
        <v>383</v>
      </c>
      <c r="I95" s="18" t="s">
        <v>238</v>
      </c>
      <c r="J95" s="18" t="s">
        <v>380</v>
      </c>
      <c r="K95" s="18" t="s">
        <v>103</v>
      </c>
      <c r="L95" s="18" t="s">
        <v>171</v>
      </c>
      <c r="M95" s="18" t="s">
        <v>255</v>
      </c>
      <c r="N95" s="18" t="s">
        <v>157</v>
      </c>
      <c r="O95" s="18" t="s">
        <v>163</v>
      </c>
      <c r="P95" s="18" t="s">
        <v>416</v>
      </c>
      <c r="Q95" s="18">
        <f>IFERROR(MATCH(K95,Niveles!$B$2:$B$10,0),"")</f>
        <v>2</v>
      </c>
    </row>
    <row r="96" spans="1:17" x14ac:dyDescent="0.25">
      <c r="A96" s="18" t="s">
        <v>43</v>
      </c>
      <c r="B96" s="18">
        <v>1875</v>
      </c>
      <c r="C96" s="18" t="s">
        <v>205</v>
      </c>
      <c r="D96" s="18"/>
      <c r="E96" s="18" t="s">
        <v>322</v>
      </c>
      <c r="F96" s="18" t="s">
        <v>169</v>
      </c>
      <c r="G96" s="18" t="s">
        <v>417</v>
      </c>
      <c r="H96" s="18">
        <v>440</v>
      </c>
      <c r="I96" s="18" t="s">
        <v>238</v>
      </c>
      <c r="J96" s="18" t="s">
        <v>380</v>
      </c>
      <c r="K96" s="18" t="s">
        <v>103</v>
      </c>
      <c r="L96" s="18" t="s">
        <v>171</v>
      </c>
      <c r="M96" s="18" t="s">
        <v>255</v>
      </c>
      <c r="N96" s="18" t="s">
        <v>157</v>
      </c>
      <c r="O96" s="18" t="s">
        <v>163</v>
      </c>
      <c r="P96" s="18" t="s">
        <v>418</v>
      </c>
      <c r="Q96" s="18">
        <f>IFERROR(MATCH(K96,Niveles!$B$2:$B$10,0),"")</f>
        <v>2</v>
      </c>
    </row>
    <row r="97" spans="1:17" x14ac:dyDescent="0.25">
      <c r="A97" s="18" t="s">
        <v>43</v>
      </c>
      <c r="B97" s="18">
        <v>1875</v>
      </c>
      <c r="C97" s="18" t="s">
        <v>274</v>
      </c>
      <c r="D97" s="18"/>
      <c r="E97" s="18" t="s">
        <v>325</v>
      </c>
      <c r="F97" s="18" t="s">
        <v>169</v>
      </c>
      <c r="G97" s="18" t="s">
        <v>419</v>
      </c>
      <c r="H97" s="18">
        <v>486</v>
      </c>
      <c r="I97" s="18" t="s">
        <v>238</v>
      </c>
      <c r="J97" s="18" t="s">
        <v>380</v>
      </c>
      <c r="K97" s="18" t="s">
        <v>103</v>
      </c>
      <c r="L97" s="18" t="s">
        <v>171</v>
      </c>
      <c r="M97" s="18" t="s">
        <v>255</v>
      </c>
      <c r="N97" s="18" t="s">
        <v>157</v>
      </c>
      <c r="O97" s="18" t="s">
        <v>163</v>
      </c>
      <c r="P97" s="18" t="s">
        <v>420</v>
      </c>
      <c r="Q97" s="18">
        <f>IFERROR(MATCH(K97,Niveles!$B$2:$B$10,0),"")</f>
        <v>2</v>
      </c>
    </row>
    <row r="98" spans="1:17" x14ac:dyDescent="0.25">
      <c r="A98" s="18" t="s">
        <v>43</v>
      </c>
      <c r="B98" s="18">
        <v>1875</v>
      </c>
      <c r="C98" s="18" t="s">
        <v>277</v>
      </c>
      <c r="D98" s="18"/>
      <c r="E98" s="18" t="s">
        <v>328</v>
      </c>
      <c r="F98" s="18" t="s">
        <v>169</v>
      </c>
      <c r="G98" s="18" t="s">
        <v>421</v>
      </c>
      <c r="H98" s="18">
        <v>530</v>
      </c>
      <c r="I98" s="18" t="s">
        <v>238</v>
      </c>
      <c r="J98" s="18" t="s">
        <v>380</v>
      </c>
      <c r="K98" s="18" t="s">
        <v>103</v>
      </c>
      <c r="L98" s="18" t="s">
        <v>171</v>
      </c>
      <c r="M98" s="18" t="s">
        <v>255</v>
      </c>
      <c r="N98" s="18" t="s">
        <v>157</v>
      </c>
      <c r="O98" s="18" t="s">
        <v>163</v>
      </c>
      <c r="P98" s="18" t="s">
        <v>422</v>
      </c>
      <c r="Q98" s="18">
        <f>IFERROR(MATCH(K98,Niveles!$B$2:$B$10,0),"")</f>
        <v>2</v>
      </c>
    </row>
    <row r="99" spans="1:17" x14ac:dyDescent="0.25">
      <c r="A99" s="18" t="s">
        <v>43</v>
      </c>
      <c r="B99" s="18">
        <v>1875</v>
      </c>
      <c r="C99" s="18" t="s">
        <v>331</v>
      </c>
      <c r="D99" s="18"/>
      <c r="E99" s="18" t="s">
        <v>332</v>
      </c>
      <c r="F99" s="18" t="s">
        <v>169</v>
      </c>
      <c r="G99" s="18" t="s">
        <v>423</v>
      </c>
      <c r="H99" s="18">
        <v>576</v>
      </c>
      <c r="I99" s="18" t="s">
        <v>238</v>
      </c>
      <c r="J99" s="18" t="s">
        <v>380</v>
      </c>
      <c r="K99" s="18" t="s">
        <v>103</v>
      </c>
      <c r="L99" s="18" t="s">
        <v>171</v>
      </c>
      <c r="M99" s="18" t="s">
        <v>255</v>
      </c>
      <c r="N99" s="18" t="s">
        <v>157</v>
      </c>
      <c r="O99" s="18" t="s">
        <v>163</v>
      </c>
      <c r="P99" s="18" t="s">
        <v>424</v>
      </c>
      <c r="Q99" s="18">
        <f>IFERROR(MATCH(K99,Niveles!$B$2:$B$10,0),"")</f>
        <v>2</v>
      </c>
    </row>
    <row r="100" spans="1:17" x14ac:dyDescent="0.25">
      <c r="A100" s="18" t="s">
        <v>43</v>
      </c>
      <c r="B100" s="18">
        <v>1875</v>
      </c>
      <c r="C100" s="18" t="s">
        <v>425</v>
      </c>
      <c r="D100" s="18"/>
      <c r="E100" s="18" t="s">
        <v>426</v>
      </c>
      <c r="F100" s="18" t="s">
        <v>145</v>
      </c>
      <c r="G100" s="18" t="s">
        <v>116</v>
      </c>
      <c r="H100" s="18">
        <v>618</v>
      </c>
      <c r="I100" s="18" t="s">
        <v>162</v>
      </c>
      <c r="J100" s="18" t="s">
        <v>380</v>
      </c>
      <c r="K100" s="18" t="s">
        <v>105</v>
      </c>
      <c r="L100" s="18" t="s">
        <v>171</v>
      </c>
      <c r="M100" s="18" t="s">
        <v>255</v>
      </c>
      <c r="N100" s="18" t="s">
        <v>162</v>
      </c>
      <c r="O100" s="18" t="s">
        <v>175</v>
      </c>
      <c r="P100" s="18" t="s">
        <v>427</v>
      </c>
      <c r="Q100" s="18">
        <f>IFERROR(MATCH(K100,Niveles!$B$2:$B$10,0),"")</f>
        <v>6</v>
      </c>
    </row>
    <row r="101" spans="1:17" x14ac:dyDescent="0.25">
      <c r="A101" s="18" t="s">
        <v>43</v>
      </c>
      <c r="B101" s="18">
        <v>1875</v>
      </c>
      <c r="C101" s="18" t="s">
        <v>425</v>
      </c>
      <c r="D101" s="18"/>
      <c r="E101" s="18" t="s">
        <v>428</v>
      </c>
      <c r="F101" s="18" t="s">
        <v>145</v>
      </c>
      <c r="G101" s="18" t="s">
        <v>116</v>
      </c>
      <c r="H101" s="18">
        <v>618</v>
      </c>
      <c r="I101" s="18" t="s">
        <v>162</v>
      </c>
      <c r="J101" s="18" t="s">
        <v>380</v>
      </c>
      <c r="K101" s="18" t="s">
        <v>105</v>
      </c>
      <c r="L101" s="18" t="s">
        <v>429</v>
      </c>
      <c r="M101" s="18" t="s">
        <v>255</v>
      </c>
      <c r="N101" s="18" t="s">
        <v>162</v>
      </c>
      <c r="O101" s="18" t="s">
        <v>175</v>
      </c>
      <c r="P101" s="18" t="s">
        <v>430</v>
      </c>
      <c r="Q101" s="18">
        <f>IFERROR(MATCH(K101,Niveles!$B$2:$B$10,0),"")</f>
        <v>6</v>
      </c>
    </row>
    <row r="102" spans="1:17" x14ac:dyDescent="0.25">
      <c r="A102" s="18" t="s">
        <v>43</v>
      </c>
      <c r="B102" s="18">
        <v>1875</v>
      </c>
      <c r="C102" s="18" t="s">
        <v>425</v>
      </c>
      <c r="D102" s="18"/>
      <c r="E102" s="18" t="s">
        <v>431</v>
      </c>
      <c r="F102" s="18" t="s">
        <v>145</v>
      </c>
      <c r="G102" s="18" t="s">
        <v>432</v>
      </c>
      <c r="H102" s="18">
        <v>622</v>
      </c>
      <c r="I102" s="18" t="s">
        <v>238</v>
      </c>
      <c r="J102" s="18"/>
      <c r="K102" s="18"/>
      <c r="L102" s="18"/>
      <c r="M102" s="18"/>
      <c r="N102" s="18"/>
      <c r="O102" s="18" t="s">
        <v>163</v>
      </c>
      <c r="P102" s="18"/>
      <c r="Q102" s="18" t="str">
        <f>IFERROR(MATCH(K102,Niveles!$B$2:$B$10,0),"")</f>
        <v/>
      </c>
    </row>
    <row r="103" spans="1:17" x14ac:dyDescent="0.25">
      <c r="A103" s="18" t="s">
        <v>43</v>
      </c>
      <c r="B103" s="18">
        <v>1875</v>
      </c>
      <c r="C103" s="18" t="s">
        <v>425</v>
      </c>
      <c r="D103" s="18"/>
      <c r="E103" s="18" t="s">
        <v>433</v>
      </c>
      <c r="F103" s="18" t="s">
        <v>145</v>
      </c>
      <c r="G103" s="18" t="s">
        <v>434</v>
      </c>
      <c r="H103" s="18">
        <v>630</v>
      </c>
      <c r="I103" s="18" t="s">
        <v>238</v>
      </c>
      <c r="J103" s="18"/>
      <c r="K103" s="18"/>
      <c r="L103" s="18"/>
      <c r="M103" s="18"/>
      <c r="N103" s="18"/>
      <c r="O103" s="18" t="s">
        <v>163</v>
      </c>
      <c r="P103" s="18"/>
      <c r="Q103" s="18" t="str">
        <f>IFERROR(MATCH(K103,Niveles!$B$2:$B$10,0),"")</f>
        <v/>
      </c>
    </row>
    <row r="104" spans="1:17" x14ac:dyDescent="0.25">
      <c r="A104" s="18" t="s">
        <v>43</v>
      </c>
      <c r="B104" s="18">
        <v>1875</v>
      </c>
      <c r="C104" s="18" t="s">
        <v>425</v>
      </c>
      <c r="D104" s="18"/>
      <c r="E104" s="18" t="s">
        <v>359</v>
      </c>
      <c r="F104" s="18" t="s">
        <v>145</v>
      </c>
      <c r="G104" s="18" t="s">
        <v>435</v>
      </c>
      <c r="H104" s="18">
        <v>636</v>
      </c>
      <c r="I104" s="18" t="s">
        <v>238</v>
      </c>
      <c r="J104" s="18"/>
      <c r="K104" s="18"/>
      <c r="L104" s="18"/>
      <c r="M104" s="18"/>
      <c r="N104" s="18"/>
      <c r="O104" s="18" t="s">
        <v>163</v>
      </c>
      <c r="P104" s="18"/>
      <c r="Q104" s="18" t="str">
        <f>IFERROR(MATCH(K104,Niveles!$B$2:$B$10,0),"")</f>
        <v/>
      </c>
    </row>
    <row r="105" spans="1:17" x14ac:dyDescent="0.25">
      <c r="A105" s="18" t="s">
        <v>43</v>
      </c>
      <c r="B105" s="18">
        <v>1875</v>
      </c>
      <c r="C105" s="18" t="s">
        <v>425</v>
      </c>
      <c r="D105" s="18"/>
      <c r="E105" s="18" t="s">
        <v>436</v>
      </c>
      <c r="F105" s="18" t="s">
        <v>145</v>
      </c>
      <c r="G105" s="18" t="s">
        <v>437</v>
      </c>
      <c r="H105" s="18">
        <v>638</v>
      </c>
      <c r="I105" s="18" t="s">
        <v>238</v>
      </c>
      <c r="J105" s="18"/>
      <c r="K105" s="18"/>
      <c r="L105" s="18"/>
      <c r="M105" s="18"/>
      <c r="N105" s="18"/>
      <c r="O105" s="18" t="s">
        <v>163</v>
      </c>
      <c r="P105" s="18"/>
      <c r="Q105" s="18" t="str">
        <f>IFERROR(MATCH(K105,Niveles!$B$2:$B$10,0),"")</f>
        <v/>
      </c>
    </row>
    <row r="106" spans="1:17" x14ac:dyDescent="0.25">
      <c r="A106" s="18" t="s">
        <v>43</v>
      </c>
      <c r="B106" s="18">
        <v>1875</v>
      </c>
      <c r="C106" s="18" t="s">
        <v>425</v>
      </c>
      <c r="D106" s="18"/>
      <c r="E106" s="18" t="s">
        <v>438</v>
      </c>
      <c r="F106" s="18" t="s">
        <v>145</v>
      </c>
      <c r="G106" s="18" t="s">
        <v>439</v>
      </c>
      <c r="H106" s="18">
        <v>640</v>
      </c>
      <c r="I106" s="18" t="s">
        <v>238</v>
      </c>
      <c r="J106" s="18"/>
      <c r="K106" s="18"/>
      <c r="L106" s="18"/>
      <c r="M106" s="18"/>
      <c r="N106" s="18"/>
      <c r="O106" s="18" t="s">
        <v>163</v>
      </c>
      <c r="P106" s="18"/>
      <c r="Q106" s="18" t="str">
        <f>IFERROR(MATCH(K106,Niveles!$B$2:$B$10,0),"")</f>
        <v/>
      </c>
    </row>
    <row r="107" spans="1:17" x14ac:dyDescent="0.25">
      <c r="A107" s="18" t="s">
        <v>43</v>
      </c>
      <c r="B107" s="18">
        <v>1875</v>
      </c>
      <c r="C107" s="18" t="s">
        <v>425</v>
      </c>
      <c r="D107" s="18"/>
      <c r="E107" s="18" t="s">
        <v>440</v>
      </c>
      <c r="F107" s="18" t="s">
        <v>145</v>
      </c>
      <c r="G107" s="18" t="s">
        <v>441</v>
      </c>
      <c r="H107" s="18">
        <v>641</v>
      </c>
      <c r="I107" s="18" t="s">
        <v>238</v>
      </c>
      <c r="J107" s="18"/>
      <c r="K107" s="18"/>
      <c r="L107" s="18"/>
      <c r="M107" s="18"/>
      <c r="N107" s="18"/>
      <c r="O107" s="18" t="s">
        <v>163</v>
      </c>
      <c r="P107" s="18"/>
      <c r="Q107" s="18" t="str">
        <f>IFERROR(MATCH(K107,Niveles!$B$2:$B$10,0),"")</f>
        <v/>
      </c>
    </row>
    <row r="108" spans="1:17" x14ac:dyDescent="0.25">
      <c r="A108" s="18" t="s">
        <v>43</v>
      </c>
      <c r="B108" s="18">
        <v>1875</v>
      </c>
      <c r="C108" s="18" t="s">
        <v>425</v>
      </c>
      <c r="D108" s="18"/>
      <c r="E108" s="18" t="s">
        <v>442</v>
      </c>
      <c r="F108" s="18" t="s">
        <v>145</v>
      </c>
      <c r="G108" s="18" t="s">
        <v>443</v>
      </c>
      <c r="H108" s="18">
        <v>642</v>
      </c>
      <c r="I108" s="18" t="s">
        <v>238</v>
      </c>
      <c r="J108" s="18"/>
      <c r="K108" s="18"/>
      <c r="L108" s="18"/>
      <c r="M108" s="18"/>
      <c r="N108" s="18"/>
      <c r="O108" s="18" t="s">
        <v>163</v>
      </c>
      <c r="P108" s="18"/>
      <c r="Q108" s="18" t="str">
        <f>IFERROR(MATCH(K108,Niveles!$B$2:$B$10,0),"")</f>
        <v/>
      </c>
    </row>
    <row r="109" spans="1:17" x14ac:dyDescent="0.25">
      <c r="A109" s="18" t="s">
        <v>43</v>
      </c>
      <c r="B109" s="18">
        <v>1875</v>
      </c>
      <c r="C109" s="18" t="s">
        <v>425</v>
      </c>
      <c r="D109" s="18"/>
      <c r="E109" s="18" t="s">
        <v>444</v>
      </c>
      <c r="F109" s="18" t="s">
        <v>145</v>
      </c>
      <c r="G109" s="18" t="s">
        <v>445</v>
      </c>
      <c r="H109" s="18">
        <v>651</v>
      </c>
      <c r="I109" s="18" t="s">
        <v>238</v>
      </c>
      <c r="J109" s="18"/>
      <c r="K109" s="18"/>
      <c r="L109" s="18"/>
      <c r="M109" s="18"/>
      <c r="N109" s="18"/>
      <c r="O109" s="18" t="s">
        <v>163</v>
      </c>
      <c r="P109" s="18"/>
      <c r="Q109" s="18" t="str">
        <f>IFERROR(MATCH(K109,Niveles!$B$2:$B$10,0),"")</f>
        <v/>
      </c>
    </row>
    <row r="110" spans="1:17" x14ac:dyDescent="0.25">
      <c r="A110" s="18" t="s">
        <v>43</v>
      </c>
      <c r="B110" s="18">
        <v>1875</v>
      </c>
      <c r="C110" s="18" t="s">
        <v>425</v>
      </c>
      <c r="D110" s="18"/>
      <c r="E110" s="18" t="s">
        <v>446</v>
      </c>
      <c r="F110" s="18" t="s">
        <v>145</v>
      </c>
      <c r="G110" s="18" t="s">
        <v>447</v>
      </c>
      <c r="H110" s="18">
        <v>655</v>
      </c>
      <c r="I110" s="18" t="s">
        <v>238</v>
      </c>
      <c r="J110" s="18"/>
      <c r="K110" s="18"/>
      <c r="L110" s="18"/>
      <c r="M110" s="18"/>
      <c r="N110" s="18"/>
      <c r="O110" s="18" t="s">
        <v>163</v>
      </c>
      <c r="P110" s="18"/>
      <c r="Q110" s="18" t="str">
        <f>IFERROR(MATCH(K110,Niveles!$B$2:$B$10,0),"")</f>
        <v/>
      </c>
    </row>
    <row r="111" spans="1:17" x14ac:dyDescent="0.25">
      <c r="A111" s="18" t="s">
        <v>43</v>
      </c>
      <c r="B111" s="18">
        <v>1875</v>
      </c>
      <c r="C111" s="18" t="s">
        <v>425</v>
      </c>
      <c r="D111" s="18"/>
      <c r="E111" s="18" t="s">
        <v>448</v>
      </c>
      <c r="F111" s="18" t="s">
        <v>145</v>
      </c>
      <c r="G111" s="18" t="s">
        <v>449</v>
      </c>
      <c r="H111" s="18">
        <v>661</v>
      </c>
      <c r="I111" s="18" t="s">
        <v>162</v>
      </c>
      <c r="J111" s="18" t="s">
        <v>450</v>
      </c>
      <c r="K111" s="18" t="s">
        <v>105</v>
      </c>
      <c r="L111" s="18"/>
      <c r="M111" s="18" t="s">
        <v>255</v>
      </c>
      <c r="N111" s="18" t="s">
        <v>162</v>
      </c>
      <c r="O111" s="18" t="s">
        <v>175</v>
      </c>
      <c r="P111" s="18" t="s">
        <v>451</v>
      </c>
      <c r="Q111" s="18">
        <f>IFERROR(MATCH(K111,Niveles!$B$2:$B$10,0),"")</f>
        <v>6</v>
      </c>
    </row>
    <row r="112" spans="1:17" x14ac:dyDescent="0.25">
      <c r="A112" s="18" t="s">
        <v>43</v>
      </c>
      <c r="B112" s="18">
        <v>1875</v>
      </c>
      <c r="C112" s="18" t="s">
        <v>452</v>
      </c>
      <c r="D112" s="18"/>
      <c r="E112" s="18" t="s">
        <v>453</v>
      </c>
      <c r="F112" s="18" t="s">
        <v>145</v>
      </c>
      <c r="G112" s="18" t="s">
        <v>454</v>
      </c>
      <c r="H112" s="18">
        <v>662</v>
      </c>
      <c r="I112" s="18" t="s">
        <v>238</v>
      </c>
      <c r="J112" s="18"/>
      <c r="K112" s="18"/>
      <c r="L112" s="18"/>
      <c r="M112" s="18"/>
      <c r="N112" s="18"/>
      <c r="O112" s="18" t="s">
        <v>163</v>
      </c>
      <c r="P112" s="18"/>
      <c r="Q112" s="18" t="str">
        <f>IFERROR(MATCH(K112,Niveles!$B$2:$B$10,0),"")</f>
        <v/>
      </c>
    </row>
    <row r="113" spans="1:17" x14ac:dyDescent="0.25">
      <c r="A113" s="18" t="s">
        <v>47</v>
      </c>
      <c r="B113" s="18">
        <v>1885</v>
      </c>
      <c r="C113" s="18" t="s">
        <v>159</v>
      </c>
      <c r="D113" s="18"/>
      <c r="E113" s="18" t="s">
        <v>376</v>
      </c>
      <c r="F113" s="18" t="s">
        <v>161</v>
      </c>
      <c r="G113" s="18"/>
      <c r="H113" s="18"/>
      <c r="I113" s="18" t="s">
        <v>284</v>
      </c>
      <c r="J113" s="18"/>
      <c r="K113" s="18"/>
      <c r="L113" s="18"/>
      <c r="M113" s="18"/>
      <c r="N113" s="18"/>
      <c r="O113" s="18" t="s">
        <v>163</v>
      </c>
      <c r="P113" s="18" t="s">
        <v>455</v>
      </c>
      <c r="Q113" s="18" t="str">
        <f>IFERROR(MATCH(K113,Niveles!$B$2:$B$10,0),"")</f>
        <v/>
      </c>
    </row>
    <row r="114" spans="1:17" x14ac:dyDescent="0.25">
      <c r="A114" s="18" t="s">
        <v>47</v>
      </c>
      <c r="B114" s="18">
        <v>1885</v>
      </c>
      <c r="C114" s="18" t="s">
        <v>456</v>
      </c>
      <c r="D114" s="18"/>
      <c r="E114" s="18" t="s">
        <v>457</v>
      </c>
      <c r="F114" s="18" t="s">
        <v>169</v>
      </c>
      <c r="G114" s="18" t="s">
        <v>112</v>
      </c>
      <c r="H114" s="18">
        <v>49</v>
      </c>
      <c r="I114" s="18" t="s">
        <v>238</v>
      </c>
      <c r="J114" s="18" t="s">
        <v>458</v>
      </c>
      <c r="K114" s="18" t="s">
        <v>103</v>
      </c>
      <c r="L114" s="18" t="s">
        <v>171</v>
      </c>
      <c r="M114" s="18" t="s">
        <v>255</v>
      </c>
      <c r="N114" s="18" t="s">
        <v>157</v>
      </c>
      <c r="O114" s="18" t="s">
        <v>163</v>
      </c>
      <c r="P114" s="18" t="s">
        <v>459</v>
      </c>
      <c r="Q114" s="18">
        <f>IFERROR(MATCH(K114,Niveles!$B$2:$B$10,0),"")</f>
        <v>2</v>
      </c>
    </row>
    <row r="115" spans="1:17" x14ac:dyDescent="0.25">
      <c r="A115" s="18" t="s">
        <v>47</v>
      </c>
      <c r="B115" s="18">
        <v>1885</v>
      </c>
      <c r="C115" s="18" t="s">
        <v>251</v>
      </c>
      <c r="D115" s="18"/>
      <c r="E115" s="18" t="s">
        <v>382</v>
      </c>
      <c r="F115" s="18" t="s">
        <v>169</v>
      </c>
      <c r="G115" s="18" t="s">
        <v>122</v>
      </c>
      <c r="H115" s="18">
        <v>58</v>
      </c>
      <c r="I115" s="18" t="s">
        <v>238</v>
      </c>
      <c r="J115" s="18" t="s">
        <v>458</v>
      </c>
      <c r="K115" s="18" t="s">
        <v>103</v>
      </c>
      <c r="L115" s="18" t="s">
        <v>171</v>
      </c>
      <c r="M115" s="18" t="s">
        <v>255</v>
      </c>
      <c r="N115" s="18" t="s">
        <v>157</v>
      </c>
      <c r="O115" s="18" t="s">
        <v>163</v>
      </c>
      <c r="P115" s="18" t="s">
        <v>460</v>
      </c>
      <c r="Q115" s="18">
        <f>IFERROR(MATCH(K115,Niveles!$B$2:$B$10,0),"")</f>
        <v>2</v>
      </c>
    </row>
    <row r="116" spans="1:17" x14ac:dyDescent="0.25">
      <c r="A116" s="18" t="s">
        <v>47</v>
      </c>
      <c r="B116" s="18">
        <v>1885</v>
      </c>
      <c r="C116" s="18" t="s">
        <v>292</v>
      </c>
      <c r="D116" s="18"/>
      <c r="E116" s="18" t="s">
        <v>293</v>
      </c>
      <c r="F116" s="18" t="s">
        <v>169</v>
      </c>
      <c r="G116" s="18" t="s">
        <v>461</v>
      </c>
      <c r="H116" s="18">
        <v>93</v>
      </c>
      <c r="I116" s="18" t="s">
        <v>238</v>
      </c>
      <c r="J116" s="18" t="s">
        <v>458</v>
      </c>
      <c r="K116" s="18" t="s">
        <v>103</v>
      </c>
      <c r="L116" s="18" t="s">
        <v>171</v>
      </c>
      <c r="M116" s="18" t="s">
        <v>255</v>
      </c>
      <c r="N116" s="18" t="s">
        <v>157</v>
      </c>
      <c r="O116" s="18" t="s">
        <v>163</v>
      </c>
      <c r="P116" s="18" t="s">
        <v>462</v>
      </c>
      <c r="Q116" s="18">
        <f>IFERROR(MATCH(K116,Niveles!$B$2:$B$10,0),"")</f>
        <v>2</v>
      </c>
    </row>
    <row r="117" spans="1:17" x14ac:dyDescent="0.25">
      <c r="A117" s="18" t="s">
        <v>47</v>
      </c>
      <c r="B117" s="18">
        <v>1885</v>
      </c>
      <c r="C117" s="18" t="s">
        <v>258</v>
      </c>
      <c r="D117" s="18"/>
      <c r="E117" s="18" t="s">
        <v>296</v>
      </c>
      <c r="F117" s="18" t="s">
        <v>169</v>
      </c>
      <c r="G117" s="18" t="s">
        <v>463</v>
      </c>
      <c r="H117" s="18">
        <v>128</v>
      </c>
      <c r="I117" s="18" t="s">
        <v>238</v>
      </c>
      <c r="J117" s="18" t="s">
        <v>458</v>
      </c>
      <c r="K117" s="18" t="s">
        <v>103</v>
      </c>
      <c r="L117" s="18" t="s">
        <v>171</v>
      </c>
      <c r="M117" s="18" t="s">
        <v>255</v>
      </c>
      <c r="N117" s="18" t="s">
        <v>157</v>
      </c>
      <c r="O117" s="18" t="s">
        <v>163</v>
      </c>
      <c r="P117" s="18" t="s">
        <v>464</v>
      </c>
      <c r="Q117" s="18">
        <f>IFERROR(MATCH(K117,Niveles!$B$2:$B$10,0),"")</f>
        <v>2</v>
      </c>
    </row>
    <row r="118" spans="1:17" x14ac:dyDescent="0.25">
      <c r="A118" s="18" t="s">
        <v>47</v>
      </c>
      <c r="B118" s="18">
        <v>1885</v>
      </c>
      <c r="C118" s="18" t="s">
        <v>391</v>
      </c>
      <c r="D118" s="18"/>
      <c r="E118" s="18" t="s">
        <v>392</v>
      </c>
      <c r="F118" s="18" t="s">
        <v>169</v>
      </c>
      <c r="G118" s="18" t="s">
        <v>465</v>
      </c>
      <c r="H118" s="18">
        <v>152</v>
      </c>
      <c r="I118" s="18" t="s">
        <v>238</v>
      </c>
      <c r="J118" s="18" t="s">
        <v>458</v>
      </c>
      <c r="K118" s="18" t="s">
        <v>103</v>
      </c>
      <c r="L118" s="18" t="s">
        <v>171</v>
      </c>
      <c r="M118" s="18" t="s">
        <v>255</v>
      </c>
      <c r="N118" s="18" t="s">
        <v>157</v>
      </c>
      <c r="O118" s="18" t="s">
        <v>163</v>
      </c>
      <c r="P118" s="18" t="s">
        <v>466</v>
      </c>
      <c r="Q118" s="18">
        <f>IFERROR(MATCH(K118,Niveles!$B$2:$B$10,0),"")</f>
        <v>2</v>
      </c>
    </row>
    <row r="119" spans="1:17" x14ac:dyDescent="0.25">
      <c r="A119" s="18" t="s">
        <v>47</v>
      </c>
      <c r="B119" s="18">
        <v>1885</v>
      </c>
      <c r="C119" s="18" t="s">
        <v>395</v>
      </c>
      <c r="D119" s="18"/>
      <c r="E119" s="18" t="s">
        <v>396</v>
      </c>
      <c r="F119" s="18" t="s">
        <v>169</v>
      </c>
      <c r="G119" s="18" t="s">
        <v>467</v>
      </c>
      <c r="H119" s="18">
        <v>166</v>
      </c>
      <c r="I119" s="18" t="s">
        <v>238</v>
      </c>
      <c r="J119" s="18" t="s">
        <v>458</v>
      </c>
      <c r="K119" s="18" t="s">
        <v>103</v>
      </c>
      <c r="L119" s="18" t="s">
        <v>171</v>
      </c>
      <c r="M119" s="18" t="s">
        <v>255</v>
      </c>
      <c r="N119" s="18" t="s">
        <v>157</v>
      </c>
      <c r="O119" s="18" t="s">
        <v>163</v>
      </c>
      <c r="P119" s="18" t="s">
        <v>468</v>
      </c>
      <c r="Q119" s="18">
        <f>IFERROR(MATCH(K119,Niveles!$B$2:$B$10,0),"")</f>
        <v>2</v>
      </c>
    </row>
    <row r="120" spans="1:17" x14ac:dyDescent="0.25">
      <c r="A120" s="18" t="s">
        <v>47</v>
      </c>
      <c r="B120" s="18">
        <v>1885</v>
      </c>
      <c r="C120" s="18" t="s">
        <v>299</v>
      </c>
      <c r="D120" s="18"/>
      <c r="E120" s="18" t="s">
        <v>300</v>
      </c>
      <c r="F120" s="18" t="s">
        <v>169</v>
      </c>
      <c r="G120" s="18" t="s">
        <v>469</v>
      </c>
      <c r="H120" s="18">
        <v>211</v>
      </c>
      <c r="I120" s="18" t="s">
        <v>238</v>
      </c>
      <c r="J120" s="18" t="s">
        <v>458</v>
      </c>
      <c r="K120" s="18" t="s">
        <v>103</v>
      </c>
      <c r="L120" s="18" t="s">
        <v>171</v>
      </c>
      <c r="M120" s="18" t="s">
        <v>255</v>
      </c>
      <c r="N120" s="18" t="s">
        <v>157</v>
      </c>
      <c r="O120" s="18" t="s">
        <v>163</v>
      </c>
      <c r="P120" s="18" t="s">
        <v>470</v>
      </c>
      <c r="Q120" s="18">
        <f>IFERROR(MATCH(K120,Niveles!$B$2:$B$10,0),"")</f>
        <v>2</v>
      </c>
    </row>
    <row r="121" spans="1:17" x14ac:dyDescent="0.25">
      <c r="A121" s="18" t="s">
        <v>47</v>
      </c>
      <c r="B121" s="18">
        <v>1885</v>
      </c>
      <c r="C121" s="18" t="s">
        <v>229</v>
      </c>
      <c r="D121" s="18"/>
      <c r="E121" s="18" t="s">
        <v>303</v>
      </c>
      <c r="F121" s="18" t="s">
        <v>169</v>
      </c>
      <c r="G121" s="18" t="s">
        <v>471</v>
      </c>
      <c r="H121" s="18">
        <v>241</v>
      </c>
      <c r="I121" s="18" t="s">
        <v>238</v>
      </c>
      <c r="J121" s="18" t="s">
        <v>458</v>
      </c>
      <c r="K121" s="18" t="s">
        <v>103</v>
      </c>
      <c r="L121" s="18" t="s">
        <v>171</v>
      </c>
      <c r="M121" s="18" t="s">
        <v>255</v>
      </c>
      <c r="N121" s="18" t="s">
        <v>157</v>
      </c>
      <c r="O121" s="18" t="s">
        <v>163</v>
      </c>
      <c r="P121" s="18" t="s">
        <v>472</v>
      </c>
      <c r="Q121" s="18">
        <f>IFERROR(MATCH(K121,Niveles!$B$2:$B$10,0),"")</f>
        <v>2</v>
      </c>
    </row>
    <row r="122" spans="1:17" x14ac:dyDescent="0.25">
      <c r="A122" s="18" t="s">
        <v>47</v>
      </c>
      <c r="B122" s="18">
        <v>1885</v>
      </c>
      <c r="C122" s="18" t="s">
        <v>306</v>
      </c>
      <c r="D122" s="18"/>
      <c r="E122" s="18" t="s">
        <v>307</v>
      </c>
      <c r="F122" s="18" t="s">
        <v>169</v>
      </c>
      <c r="G122" s="18" t="s">
        <v>473</v>
      </c>
      <c r="H122" s="18">
        <v>294</v>
      </c>
      <c r="I122" s="18" t="s">
        <v>238</v>
      </c>
      <c r="J122" s="18" t="s">
        <v>458</v>
      </c>
      <c r="K122" s="18" t="s">
        <v>103</v>
      </c>
      <c r="L122" s="18" t="s">
        <v>171</v>
      </c>
      <c r="M122" s="18" t="s">
        <v>255</v>
      </c>
      <c r="N122" s="18" t="s">
        <v>157</v>
      </c>
      <c r="O122" s="18" t="s">
        <v>163</v>
      </c>
      <c r="P122" s="18" t="s">
        <v>474</v>
      </c>
      <c r="Q122" s="18">
        <f>IFERROR(MATCH(K122,Niveles!$B$2:$B$10,0),"")</f>
        <v>2</v>
      </c>
    </row>
    <row r="123" spans="1:17" x14ac:dyDescent="0.25">
      <c r="A123" s="18" t="s">
        <v>47</v>
      </c>
      <c r="B123" s="18">
        <v>1885</v>
      </c>
      <c r="C123" s="18" t="s">
        <v>263</v>
      </c>
      <c r="D123" s="18"/>
      <c r="E123" s="18" t="s">
        <v>310</v>
      </c>
      <c r="F123" s="18" t="s">
        <v>169</v>
      </c>
      <c r="G123" s="18" t="s">
        <v>475</v>
      </c>
      <c r="H123" s="18">
        <v>336</v>
      </c>
      <c r="I123" s="18" t="s">
        <v>238</v>
      </c>
      <c r="J123" s="18" t="s">
        <v>458</v>
      </c>
      <c r="K123" s="18" t="s">
        <v>103</v>
      </c>
      <c r="L123" s="18" t="s">
        <v>171</v>
      </c>
      <c r="M123" s="18" t="s">
        <v>255</v>
      </c>
      <c r="N123" s="18" t="s">
        <v>157</v>
      </c>
      <c r="O123" s="18" t="s">
        <v>163</v>
      </c>
      <c r="P123" s="18" t="s">
        <v>476</v>
      </c>
      <c r="Q123" s="18">
        <f>IFERROR(MATCH(K123,Niveles!$B$2:$B$10,0),"")</f>
        <v>2</v>
      </c>
    </row>
    <row r="124" spans="1:17" x14ac:dyDescent="0.25">
      <c r="A124" s="18" t="s">
        <v>47</v>
      </c>
      <c r="B124" s="18">
        <v>1885</v>
      </c>
      <c r="C124" s="18" t="s">
        <v>404</v>
      </c>
      <c r="D124" s="18"/>
      <c r="E124" s="18" t="s">
        <v>405</v>
      </c>
      <c r="F124" s="18" t="s">
        <v>169</v>
      </c>
      <c r="G124" s="18" t="s">
        <v>477</v>
      </c>
      <c r="H124" s="18">
        <v>365</v>
      </c>
      <c r="I124" s="18" t="s">
        <v>238</v>
      </c>
      <c r="J124" s="18" t="s">
        <v>458</v>
      </c>
      <c r="K124" s="18" t="s">
        <v>103</v>
      </c>
      <c r="L124" s="18" t="s">
        <v>171</v>
      </c>
      <c r="M124" s="18" t="s">
        <v>255</v>
      </c>
      <c r="N124" s="18" t="s">
        <v>157</v>
      </c>
      <c r="O124" s="18" t="s">
        <v>163</v>
      </c>
      <c r="P124" s="18" t="s">
        <v>478</v>
      </c>
      <c r="Q124" s="18">
        <f>IFERROR(MATCH(K124,Niveles!$B$2:$B$10,0),"")</f>
        <v>2</v>
      </c>
    </row>
    <row r="125" spans="1:17" x14ac:dyDescent="0.25">
      <c r="A125" s="18" t="s">
        <v>47</v>
      </c>
      <c r="B125" s="18">
        <v>1885</v>
      </c>
      <c r="C125" s="18" t="s">
        <v>266</v>
      </c>
      <c r="D125" s="18"/>
      <c r="E125" s="18" t="s">
        <v>313</v>
      </c>
      <c r="F125" s="18" t="s">
        <v>169</v>
      </c>
      <c r="G125" s="18" t="s">
        <v>340</v>
      </c>
      <c r="H125" s="18">
        <v>394</v>
      </c>
      <c r="I125" s="18" t="s">
        <v>238</v>
      </c>
      <c r="J125" s="18" t="s">
        <v>458</v>
      </c>
      <c r="K125" s="18" t="s">
        <v>103</v>
      </c>
      <c r="L125" s="18" t="s">
        <v>171</v>
      </c>
      <c r="M125" s="18" t="s">
        <v>255</v>
      </c>
      <c r="N125" s="18" t="s">
        <v>157</v>
      </c>
      <c r="O125" s="18" t="s">
        <v>163</v>
      </c>
      <c r="P125" s="18" t="s">
        <v>479</v>
      </c>
      <c r="Q125" s="18">
        <f>IFERROR(MATCH(K125,Niveles!$B$2:$B$10,0),"")</f>
        <v>2</v>
      </c>
    </row>
    <row r="126" spans="1:17" x14ac:dyDescent="0.25">
      <c r="A126" s="18" t="s">
        <v>47</v>
      </c>
      <c r="B126" s="18">
        <v>1885</v>
      </c>
      <c r="C126" s="18" t="s">
        <v>221</v>
      </c>
      <c r="D126" s="18"/>
      <c r="E126" s="18" t="s">
        <v>410</v>
      </c>
      <c r="F126" s="18" t="s">
        <v>169</v>
      </c>
      <c r="G126" s="18" t="s">
        <v>480</v>
      </c>
      <c r="H126" s="18">
        <v>429</v>
      </c>
      <c r="I126" s="18" t="s">
        <v>238</v>
      </c>
      <c r="J126" s="18" t="s">
        <v>458</v>
      </c>
      <c r="K126" s="18" t="s">
        <v>103</v>
      </c>
      <c r="L126" s="18" t="s">
        <v>171</v>
      </c>
      <c r="M126" s="18" t="s">
        <v>255</v>
      </c>
      <c r="N126" s="18" t="s">
        <v>157</v>
      </c>
      <c r="O126" s="18" t="s">
        <v>163</v>
      </c>
      <c r="P126" s="18" t="s">
        <v>481</v>
      </c>
      <c r="Q126" s="18">
        <f>IFERROR(MATCH(K126,Niveles!$B$2:$B$10,0),"")</f>
        <v>2</v>
      </c>
    </row>
    <row r="127" spans="1:17" x14ac:dyDescent="0.25">
      <c r="A127" s="18" t="s">
        <v>47</v>
      </c>
      <c r="B127" s="18">
        <v>1885</v>
      </c>
      <c r="C127" s="18" t="s">
        <v>217</v>
      </c>
      <c r="D127" s="18"/>
      <c r="E127" s="18" t="s">
        <v>316</v>
      </c>
      <c r="F127" s="18" t="s">
        <v>169</v>
      </c>
      <c r="G127" s="18" t="s">
        <v>482</v>
      </c>
      <c r="H127" s="18">
        <v>452</v>
      </c>
      <c r="I127" s="18" t="s">
        <v>238</v>
      </c>
      <c r="J127" s="18" t="s">
        <v>458</v>
      </c>
      <c r="K127" s="18" t="s">
        <v>103</v>
      </c>
      <c r="L127" s="18" t="s">
        <v>171</v>
      </c>
      <c r="M127" s="18" t="s">
        <v>255</v>
      </c>
      <c r="N127" s="18" t="s">
        <v>157</v>
      </c>
      <c r="O127" s="18" t="s">
        <v>163</v>
      </c>
      <c r="P127" s="18" t="s">
        <v>483</v>
      </c>
      <c r="Q127" s="18">
        <f>IFERROR(MATCH(K127,Niveles!$B$2:$B$10,0),"")</f>
        <v>2</v>
      </c>
    </row>
    <row r="128" spans="1:17" x14ac:dyDescent="0.25">
      <c r="A128" s="18" t="s">
        <v>47</v>
      </c>
      <c r="B128" s="18">
        <v>1885</v>
      </c>
      <c r="C128" s="18" t="s">
        <v>484</v>
      </c>
      <c r="D128" s="18"/>
      <c r="E128" s="18" t="s">
        <v>485</v>
      </c>
      <c r="F128" s="18" t="s">
        <v>169</v>
      </c>
      <c r="G128" s="18" t="s">
        <v>486</v>
      </c>
      <c r="H128" s="18">
        <v>488</v>
      </c>
      <c r="I128" s="18" t="s">
        <v>238</v>
      </c>
      <c r="J128" s="18" t="s">
        <v>458</v>
      </c>
      <c r="K128" s="18" t="s">
        <v>103</v>
      </c>
      <c r="L128" s="18" t="s">
        <v>171</v>
      </c>
      <c r="M128" s="18" t="s">
        <v>255</v>
      </c>
      <c r="N128" s="18" t="s">
        <v>157</v>
      </c>
      <c r="O128" s="18" t="s">
        <v>163</v>
      </c>
      <c r="P128" s="18" t="s">
        <v>487</v>
      </c>
      <c r="Q128" s="18">
        <f>IFERROR(MATCH(K128,Niveles!$B$2:$B$10,0),"")</f>
        <v>2</v>
      </c>
    </row>
    <row r="129" spans="1:17" x14ac:dyDescent="0.25">
      <c r="A129" s="18" t="s">
        <v>47</v>
      </c>
      <c r="B129" s="18">
        <v>1885</v>
      </c>
      <c r="C129" s="18" t="s">
        <v>271</v>
      </c>
      <c r="D129" s="18"/>
      <c r="E129" s="18" t="s">
        <v>319</v>
      </c>
      <c r="F129" s="18" t="s">
        <v>169</v>
      </c>
      <c r="G129" s="18" t="s">
        <v>488</v>
      </c>
      <c r="H129" s="18">
        <v>511</v>
      </c>
      <c r="I129" s="18" t="s">
        <v>238</v>
      </c>
      <c r="J129" s="18" t="s">
        <v>458</v>
      </c>
      <c r="K129" s="18" t="s">
        <v>103</v>
      </c>
      <c r="L129" s="18" t="s">
        <v>171</v>
      </c>
      <c r="M129" s="18" t="s">
        <v>255</v>
      </c>
      <c r="N129" s="18" t="s">
        <v>157</v>
      </c>
      <c r="O129" s="18" t="s">
        <v>163</v>
      </c>
      <c r="P129" s="18" t="s">
        <v>489</v>
      </c>
      <c r="Q129" s="18">
        <f>IFERROR(MATCH(K129,Niveles!$B$2:$B$10,0),"")</f>
        <v>2</v>
      </c>
    </row>
    <row r="130" spans="1:17" x14ac:dyDescent="0.25">
      <c r="A130" s="18" t="s">
        <v>47</v>
      </c>
      <c r="B130" s="18">
        <v>1885</v>
      </c>
      <c r="C130" s="18" t="s">
        <v>205</v>
      </c>
      <c r="D130" s="18"/>
      <c r="E130" s="18" t="s">
        <v>322</v>
      </c>
      <c r="F130" s="18" t="s">
        <v>169</v>
      </c>
      <c r="G130" s="18" t="s">
        <v>490</v>
      </c>
      <c r="H130" s="18">
        <v>584</v>
      </c>
      <c r="I130" s="18" t="s">
        <v>238</v>
      </c>
      <c r="J130" s="18" t="s">
        <v>458</v>
      </c>
      <c r="K130" s="18" t="s">
        <v>103</v>
      </c>
      <c r="L130" s="18" t="s">
        <v>171</v>
      </c>
      <c r="M130" s="18" t="s">
        <v>255</v>
      </c>
      <c r="N130" s="18" t="s">
        <v>157</v>
      </c>
      <c r="O130" s="18" t="s">
        <v>163</v>
      </c>
      <c r="P130" s="18" t="s">
        <v>491</v>
      </c>
      <c r="Q130" s="18">
        <f>IFERROR(MATCH(K130,Niveles!$B$2:$B$10,0),"")</f>
        <v>2</v>
      </c>
    </row>
    <row r="131" spans="1:17" x14ac:dyDescent="0.25">
      <c r="A131" s="18" t="s">
        <v>47</v>
      </c>
      <c r="B131" s="18">
        <v>1885</v>
      </c>
      <c r="C131" s="18" t="s">
        <v>274</v>
      </c>
      <c r="D131" s="18"/>
      <c r="E131" s="18" t="s">
        <v>325</v>
      </c>
      <c r="F131" s="18" t="s">
        <v>169</v>
      </c>
      <c r="G131" s="18" t="s">
        <v>492</v>
      </c>
      <c r="H131" s="18">
        <v>638</v>
      </c>
      <c r="I131" s="18" t="s">
        <v>238</v>
      </c>
      <c r="J131" s="18" t="s">
        <v>458</v>
      </c>
      <c r="K131" s="18" t="s">
        <v>103</v>
      </c>
      <c r="L131" s="18" t="s">
        <v>171</v>
      </c>
      <c r="M131" s="18" t="s">
        <v>255</v>
      </c>
      <c r="N131" s="18" t="s">
        <v>157</v>
      </c>
      <c r="O131" s="18" t="s">
        <v>163</v>
      </c>
      <c r="P131" s="18" t="s">
        <v>493</v>
      </c>
      <c r="Q131" s="18">
        <f>IFERROR(MATCH(K131,Niveles!$B$2:$B$10,0),"")</f>
        <v>2</v>
      </c>
    </row>
    <row r="132" spans="1:17" x14ac:dyDescent="0.25">
      <c r="A132" s="18" t="s">
        <v>47</v>
      </c>
      <c r="B132" s="18">
        <v>1885</v>
      </c>
      <c r="C132" s="18" t="s">
        <v>277</v>
      </c>
      <c r="D132" s="18"/>
      <c r="E132" s="18" t="s">
        <v>328</v>
      </c>
      <c r="F132" s="18" t="s">
        <v>169</v>
      </c>
      <c r="G132" s="18" t="s">
        <v>494</v>
      </c>
      <c r="H132" s="18">
        <v>703</v>
      </c>
      <c r="I132" s="18" t="s">
        <v>238</v>
      </c>
      <c r="J132" s="18" t="s">
        <v>458</v>
      </c>
      <c r="K132" s="18" t="s">
        <v>103</v>
      </c>
      <c r="L132" s="18" t="s">
        <v>171</v>
      </c>
      <c r="M132" s="18" t="s">
        <v>255</v>
      </c>
      <c r="N132" s="18" t="s">
        <v>157</v>
      </c>
      <c r="O132" s="18" t="s">
        <v>163</v>
      </c>
      <c r="P132" s="18" t="s">
        <v>495</v>
      </c>
      <c r="Q132" s="18">
        <f>IFERROR(MATCH(K132,Niveles!$B$2:$B$10,0),"")</f>
        <v>2</v>
      </c>
    </row>
    <row r="133" spans="1:17" x14ac:dyDescent="0.25">
      <c r="A133" s="18" t="s">
        <v>47</v>
      </c>
      <c r="B133" s="18">
        <v>1885</v>
      </c>
      <c r="C133" s="18" t="s">
        <v>331</v>
      </c>
      <c r="D133" s="18"/>
      <c r="E133" s="18" t="s">
        <v>332</v>
      </c>
      <c r="F133" s="18" t="s">
        <v>169</v>
      </c>
      <c r="G133" s="18" t="s">
        <v>496</v>
      </c>
      <c r="H133" s="18">
        <v>775</v>
      </c>
      <c r="I133" s="18" t="s">
        <v>238</v>
      </c>
      <c r="J133" s="18" t="s">
        <v>458</v>
      </c>
      <c r="K133" s="18" t="s">
        <v>103</v>
      </c>
      <c r="L133" s="18" t="s">
        <v>171</v>
      </c>
      <c r="M133" s="18" t="s">
        <v>255</v>
      </c>
      <c r="N133" s="18" t="s">
        <v>157</v>
      </c>
      <c r="O133" s="18" t="s">
        <v>163</v>
      </c>
      <c r="P133" s="18" t="s">
        <v>497</v>
      </c>
      <c r="Q133" s="18">
        <f>IFERROR(MATCH(K133,Niveles!$B$2:$B$10,0),"")</f>
        <v>2</v>
      </c>
    </row>
    <row r="134" spans="1:17" x14ac:dyDescent="0.25">
      <c r="A134" s="18" t="s">
        <v>47</v>
      </c>
      <c r="B134" s="18">
        <v>1885</v>
      </c>
      <c r="C134" s="18" t="s">
        <v>498</v>
      </c>
      <c r="D134" s="18"/>
      <c r="E134" s="18" t="s">
        <v>499</v>
      </c>
      <c r="F134" s="18" t="s">
        <v>169</v>
      </c>
      <c r="G134" s="18" t="s">
        <v>500</v>
      </c>
      <c r="H134" s="18">
        <v>823</v>
      </c>
      <c r="I134" s="18" t="s">
        <v>238</v>
      </c>
      <c r="J134" s="18" t="s">
        <v>458</v>
      </c>
      <c r="K134" s="18" t="s">
        <v>103</v>
      </c>
      <c r="L134" s="18" t="s">
        <v>171</v>
      </c>
      <c r="M134" s="18" t="s">
        <v>255</v>
      </c>
      <c r="N134" s="18" t="s">
        <v>157</v>
      </c>
      <c r="O134" s="18" t="s">
        <v>163</v>
      </c>
      <c r="P134" s="18" t="s">
        <v>501</v>
      </c>
      <c r="Q134" s="18">
        <f>IFERROR(MATCH(K134,Niveles!$B$2:$B$10,0),"")</f>
        <v>2</v>
      </c>
    </row>
    <row r="135" spans="1:17" x14ac:dyDescent="0.25">
      <c r="A135" s="18" t="s">
        <v>47</v>
      </c>
      <c r="B135" s="18">
        <v>1885</v>
      </c>
      <c r="C135" s="18" t="s">
        <v>502</v>
      </c>
      <c r="D135" s="18"/>
      <c r="E135" s="18" t="s">
        <v>503</v>
      </c>
      <c r="F135" s="18" t="s">
        <v>169</v>
      </c>
      <c r="G135" s="18" t="s">
        <v>504</v>
      </c>
      <c r="H135" s="18">
        <v>838</v>
      </c>
      <c r="I135" s="18" t="s">
        <v>238</v>
      </c>
      <c r="J135" s="18" t="s">
        <v>458</v>
      </c>
      <c r="K135" s="18" t="s">
        <v>103</v>
      </c>
      <c r="L135" s="18" t="s">
        <v>171</v>
      </c>
      <c r="M135" s="18" t="s">
        <v>255</v>
      </c>
      <c r="N135" s="18" t="s">
        <v>157</v>
      </c>
      <c r="O135" s="18" t="s">
        <v>163</v>
      </c>
      <c r="P135" s="18" t="s">
        <v>505</v>
      </c>
      <c r="Q135" s="18">
        <f>IFERROR(MATCH(K135,Niveles!$B$2:$B$10,0),"")</f>
        <v>2</v>
      </c>
    </row>
    <row r="136" spans="1:17" x14ac:dyDescent="0.25">
      <c r="A136" s="18" t="s">
        <v>47</v>
      </c>
      <c r="B136" s="18">
        <v>1885</v>
      </c>
      <c r="C136" s="18" t="s">
        <v>506</v>
      </c>
      <c r="D136" s="18"/>
      <c r="E136" s="18" t="s">
        <v>507</v>
      </c>
      <c r="F136" s="18" t="s">
        <v>169</v>
      </c>
      <c r="G136" s="18" t="s">
        <v>508</v>
      </c>
      <c r="H136" s="18">
        <v>855</v>
      </c>
      <c r="I136" s="18" t="s">
        <v>238</v>
      </c>
      <c r="J136" s="18" t="s">
        <v>458</v>
      </c>
      <c r="K136" s="18" t="s">
        <v>103</v>
      </c>
      <c r="L136" s="18" t="s">
        <v>171</v>
      </c>
      <c r="M136" s="18" t="s">
        <v>255</v>
      </c>
      <c r="N136" s="18" t="s">
        <v>157</v>
      </c>
      <c r="O136" s="18" t="s">
        <v>163</v>
      </c>
      <c r="P136" s="18" t="s">
        <v>509</v>
      </c>
      <c r="Q136" s="18">
        <f>IFERROR(MATCH(K136,Niveles!$B$2:$B$10,0),"")</f>
        <v>2</v>
      </c>
    </row>
    <row r="137" spans="1:17" x14ac:dyDescent="0.25">
      <c r="A137" s="18" t="s">
        <v>47</v>
      </c>
      <c r="B137" s="18">
        <v>1885</v>
      </c>
      <c r="C137" s="18" t="s">
        <v>425</v>
      </c>
      <c r="D137" s="18"/>
      <c r="E137" s="18" t="s">
        <v>510</v>
      </c>
      <c r="F137" s="18" t="s">
        <v>145</v>
      </c>
      <c r="G137" s="18" t="s">
        <v>117</v>
      </c>
      <c r="H137" s="18">
        <v>872</v>
      </c>
      <c r="I137" s="18" t="s">
        <v>162</v>
      </c>
      <c r="J137" s="18" t="s">
        <v>458</v>
      </c>
      <c r="K137" s="18" t="s">
        <v>105</v>
      </c>
      <c r="L137" s="18" t="s">
        <v>171</v>
      </c>
      <c r="M137" s="18" t="s">
        <v>255</v>
      </c>
      <c r="N137" s="18" t="s">
        <v>162</v>
      </c>
      <c r="O137" s="18" t="s">
        <v>175</v>
      </c>
      <c r="P137" s="18" t="s">
        <v>511</v>
      </c>
      <c r="Q137" s="18">
        <f>IFERROR(MATCH(K137,Niveles!$B$2:$B$10,0),"")</f>
        <v>6</v>
      </c>
    </row>
    <row r="138" spans="1:17" x14ac:dyDescent="0.25">
      <c r="A138" s="18" t="s">
        <v>47</v>
      </c>
      <c r="B138" s="18">
        <v>1885</v>
      </c>
      <c r="C138" s="18" t="s">
        <v>425</v>
      </c>
      <c r="D138" s="18"/>
      <c r="E138" s="18" t="s">
        <v>512</v>
      </c>
      <c r="F138" s="18" t="s">
        <v>145</v>
      </c>
      <c r="G138" s="18" t="s">
        <v>513</v>
      </c>
      <c r="H138" s="18">
        <v>875</v>
      </c>
      <c r="I138" s="18" t="s">
        <v>162</v>
      </c>
      <c r="J138" s="18" t="s">
        <v>458</v>
      </c>
      <c r="K138" s="18" t="s">
        <v>105</v>
      </c>
      <c r="L138" s="18" t="s">
        <v>429</v>
      </c>
      <c r="M138" s="18" t="s">
        <v>255</v>
      </c>
      <c r="N138" s="18" t="s">
        <v>162</v>
      </c>
      <c r="O138" s="18" t="s">
        <v>175</v>
      </c>
      <c r="P138" s="18" t="s">
        <v>514</v>
      </c>
      <c r="Q138" s="18">
        <f>IFERROR(MATCH(K138,Niveles!$B$2:$B$10,0),"")</f>
        <v>6</v>
      </c>
    </row>
    <row r="139" spans="1:17" x14ac:dyDescent="0.25">
      <c r="A139" s="18" t="s">
        <v>47</v>
      </c>
      <c r="B139" s="18">
        <v>1885</v>
      </c>
      <c r="C139" s="18" t="s">
        <v>425</v>
      </c>
      <c r="D139" s="18"/>
      <c r="E139" s="18" t="s">
        <v>515</v>
      </c>
      <c r="F139" s="18" t="s">
        <v>145</v>
      </c>
      <c r="G139" s="18" t="s">
        <v>516</v>
      </c>
      <c r="H139" s="18">
        <v>881</v>
      </c>
      <c r="I139" s="18" t="s">
        <v>238</v>
      </c>
      <c r="J139" s="18"/>
      <c r="K139" s="18"/>
      <c r="L139" s="18"/>
      <c r="M139" s="18"/>
      <c r="N139" s="18"/>
      <c r="O139" s="18" t="s">
        <v>163</v>
      </c>
      <c r="P139" s="18"/>
      <c r="Q139" s="18" t="str">
        <f>IFERROR(MATCH(K139,Niveles!$B$2:$B$10,0),"")</f>
        <v/>
      </c>
    </row>
    <row r="140" spans="1:17" x14ac:dyDescent="0.25">
      <c r="A140" s="18" t="s">
        <v>47</v>
      </c>
      <c r="B140" s="18">
        <v>1885</v>
      </c>
      <c r="C140" s="18" t="s">
        <v>425</v>
      </c>
      <c r="D140" s="18"/>
      <c r="E140" s="18" t="s">
        <v>517</v>
      </c>
      <c r="F140" s="18" t="s">
        <v>145</v>
      </c>
      <c r="G140" s="18" t="s">
        <v>518</v>
      </c>
      <c r="H140" s="18">
        <v>883</v>
      </c>
      <c r="I140" s="18" t="s">
        <v>238</v>
      </c>
      <c r="J140" s="18"/>
      <c r="K140" s="18"/>
      <c r="L140" s="18"/>
      <c r="M140" s="18"/>
      <c r="N140" s="18"/>
      <c r="O140" s="18" t="s">
        <v>163</v>
      </c>
      <c r="P140" s="18"/>
      <c r="Q140" s="18" t="str">
        <f>IFERROR(MATCH(K140,Niveles!$B$2:$B$10,0),"")</f>
        <v/>
      </c>
    </row>
    <row r="141" spans="1:17" x14ac:dyDescent="0.25">
      <c r="A141" s="18" t="s">
        <v>47</v>
      </c>
      <c r="B141" s="18">
        <v>1885</v>
      </c>
      <c r="C141" s="18" t="s">
        <v>425</v>
      </c>
      <c r="D141" s="18"/>
      <c r="E141" s="18" t="s">
        <v>519</v>
      </c>
      <c r="F141" s="18" t="s">
        <v>145</v>
      </c>
      <c r="G141" s="18" t="s">
        <v>520</v>
      </c>
      <c r="H141" s="18">
        <v>885</v>
      </c>
      <c r="I141" s="18" t="s">
        <v>238</v>
      </c>
      <c r="J141" s="18"/>
      <c r="K141" s="18"/>
      <c r="L141" s="18"/>
      <c r="M141" s="18"/>
      <c r="N141" s="18"/>
      <c r="O141" s="18" t="s">
        <v>163</v>
      </c>
      <c r="P141" s="18"/>
      <c r="Q141" s="18" t="str">
        <f>IFERROR(MATCH(K141,Niveles!$B$2:$B$10,0),"")</f>
        <v/>
      </c>
    </row>
    <row r="142" spans="1:17" x14ac:dyDescent="0.25">
      <c r="A142" s="18" t="s">
        <v>47</v>
      </c>
      <c r="B142" s="18">
        <v>1885</v>
      </c>
      <c r="C142" s="18" t="s">
        <v>425</v>
      </c>
      <c r="D142" s="18"/>
      <c r="E142" s="18" t="s">
        <v>521</v>
      </c>
      <c r="F142" s="18" t="s">
        <v>145</v>
      </c>
      <c r="G142" s="18" t="s">
        <v>522</v>
      </c>
      <c r="H142" s="18">
        <v>890</v>
      </c>
      <c r="I142" s="18" t="s">
        <v>238</v>
      </c>
      <c r="J142" s="18"/>
      <c r="K142" s="18"/>
      <c r="L142" s="18"/>
      <c r="M142" s="18"/>
      <c r="N142" s="18"/>
      <c r="O142" s="18" t="s">
        <v>163</v>
      </c>
      <c r="P142" s="18"/>
      <c r="Q142" s="18" t="str">
        <f>IFERROR(MATCH(K142,Niveles!$B$2:$B$10,0),"")</f>
        <v/>
      </c>
    </row>
    <row r="143" spans="1:17" x14ac:dyDescent="0.25">
      <c r="A143" s="18" t="s">
        <v>47</v>
      </c>
      <c r="B143" s="18">
        <v>1885</v>
      </c>
      <c r="C143" s="18" t="s">
        <v>425</v>
      </c>
      <c r="D143" s="18"/>
      <c r="E143" s="18" t="s">
        <v>523</v>
      </c>
      <c r="F143" s="18" t="s">
        <v>145</v>
      </c>
      <c r="G143" s="18" t="s">
        <v>524</v>
      </c>
      <c r="H143" s="18">
        <v>892</v>
      </c>
      <c r="I143" s="18" t="s">
        <v>238</v>
      </c>
      <c r="J143" s="18"/>
      <c r="K143" s="18"/>
      <c r="L143" s="18"/>
      <c r="M143" s="18"/>
      <c r="N143" s="18"/>
      <c r="O143" s="18" t="s">
        <v>163</v>
      </c>
      <c r="P143" s="18"/>
      <c r="Q143" s="18" t="str">
        <f>IFERROR(MATCH(K143,Niveles!$B$2:$B$10,0),"")</f>
        <v/>
      </c>
    </row>
    <row r="144" spans="1:17" x14ac:dyDescent="0.25">
      <c r="A144" s="18" t="s">
        <v>47</v>
      </c>
      <c r="B144" s="18">
        <v>1885</v>
      </c>
      <c r="C144" s="18" t="s">
        <v>425</v>
      </c>
      <c r="D144" s="18"/>
      <c r="E144" s="18" t="s">
        <v>525</v>
      </c>
      <c r="F144" s="18" t="s">
        <v>145</v>
      </c>
      <c r="G144" s="18" t="s">
        <v>526</v>
      </c>
      <c r="H144" s="18">
        <v>894</v>
      </c>
      <c r="I144" s="18" t="s">
        <v>238</v>
      </c>
      <c r="J144" s="18"/>
      <c r="K144" s="18"/>
      <c r="L144" s="18"/>
      <c r="M144" s="18"/>
      <c r="N144" s="18"/>
      <c r="O144" s="18" t="s">
        <v>163</v>
      </c>
      <c r="P144" s="18"/>
      <c r="Q144" s="18" t="str">
        <f>IFERROR(MATCH(K144,Niveles!$B$2:$B$10,0),"")</f>
        <v/>
      </c>
    </row>
    <row r="145" spans="1:17" x14ac:dyDescent="0.25">
      <c r="A145" s="18" t="s">
        <v>47</v>
      </c>
      <c r="B145" s="18">
        <v>1885</v>
      </c>
      <c r="C145" s="18" t="s">
        <v>425</v>
      </c>
      <c r="D145" s="18"/>
      <c r="E145" s="18" t="s">
        <v>527</v>
      </c>
      <c r="F145" s="18" t="s">
        <v>145</v>
      </c>
      <c r="G145" s="18" t="s">
        <v>528</v>
      </c>
      <c r="H145" s="18">
        <v>896</v>
      </c>
      <c r="I145" s="18" t="s">
        <v>238</v>
      </c>
      <c r="J145" s="18"/>
      <c r="K145" s="18"/>
      <c r="L145" s="18"/>
      <c r="M145" s="18"/>
      <c r="N145" s="18"/>
      <c r="O145" s="18" t="s">
        <v>163</v>
      </c>
      <c r="P145" s="18"/>
      <c r="Q145" s="18" t="str">
        <f>IFERROR(MATCH(K145,Niveles!$B$2:$B$10,0),"")</f>
        <v/>
      </c>
    </row>
    <row r="146" spans="1:17" x14ac:dyDescent="0.25">
      <c r="A146" s="18" t="s">
        <v>47</v>
      </c>
      <c r="B146" s="18">
        <v>1885</v>
      </c>
      <c r="C146" s="18" t="s">
        <v>425</v>
      </c>
      <c r="D146" s="18"/>
      <c r="E146" s="18" t="s">
        <v>529</v>
      </c>
      <c r="F146" s="18" t="s">
        <v>145</v>
      </c>
      <c r="G146" s="18" t="s">
        <v>530</v>
      </c>
      <c r="H146" s="18">
        <v>898</v>
      </c>
      <c r="I146" s="18" t="s">
        <v>238</v>
      </c>
      <c r="J146" s="18"/>
      <c r="K146" s="18"/>
      <c r="L146" s="18"/>
      <c r="M146" s="18"/>
      <c r="N146" s="18"/>
      <c r="O146" s="18" t="s">
        <v>163</v>
      </c>
      <c r="P146" s="18"/>
      <c r="Q146" s="18" t="str">
        <f>IFERROR(MATCH(K146,Niveles!$B$2:$B$10,0),"")</f>
        <v/>
      </c>
    </row>
    <row r="147" spans="1:17" x14ac:dyDescent="0.25">
      <c r="A147" s="18" t="s">
        <v>47</v>
      </c>
      <c r="B147" s="18">
        <v>1885</v>
      </c>
      <c r="C147" s="18" t="s">
        <v>425</v>
      </c>
      <c r="D147" s="18"/>
      <c r="E147" s="18" t="s">
        <v>531</v>
      </c>
      <c r="F147" s="18" t="s">
        <v>145</v>
      </c>
      <c r="G147" s="18" t="s">
        <v>532</v>
      </c>
      <c r="H147" s="18">
        <v>900</v>
      </c>
      <c r="I147" s="18" t="s">
        <v>162</v>
      </c>
      <c r="J147" s="18"/>
      <c r="K147" s="18"/>
      <c r="L147" s="18"/>
      <c r="M147" s="18"/>
      <c r="N147" s="18"/>
      <c r="O147" s="18" t="s">
        <v>163</v>
      </c>
      <c r="P147" s="18"/>
      <c r="Q147" s="18" t="str">
        <f>IFERROR(MATCH(K147,Niveles!$B$2:$B$10,0),"")</f>
        <v/>
      </c>
    </row>
    <row r="148" spans="1:17" x14ac:dyDescent="0.25">
      <c r="A148" s="18" t="s">
        <v>50</v>
      </c>
      <c r="B148" s="18">
        <v>1895</v>
      </c>
      <c r="C148" s="18" t="s">
        <v>533</v>
      </c>
      <c r="D148" s="18"/>
      <c r="E148" s="18" t="s">
        <v>534</v>
      </c>
      <c r="F148" s="18" t="s">
        <v>161</v>
      </c>
      <c r="G148" s="18"/>
      <c r="H148" s="18"/>
      <c r="I148" s="18" t="s">
        <v>284</v>
      </c>
      <c r="J148" s="18"/>
      <c r="K148" s="18"/>
      <c r="L148" s="18"/>
      <c r="M148" s="18"/>
      <c r="N148" s="18"/>
      <c r="O148" s="18" t="s">
        <v>163</v>
      </c>
      <c r="P148" s="18" t="s">
        <v>535</v>
      </c>
      <c r="Q148" s="18" t="str">
        <f>IFERROR(MATCH(K148,Niveles!$B$2:$B$10,0),"")</f>
        <v/>
      </c>
    </row>
    <row r="149" spans="1:17" x14ac:dyDescent="0.25">
      <c r="A149" s="18" t="s">
        <v>50</v>
      </c>
      <c r="B149" s="18">
        <v>1895</v>
      </c>
      <c r="C149" s="18" t="s">
        <v>536</v>
      </c>
      <c r="D149" s="18"/>
      <c r="E149" s="18" t="s">
        <v>537</v>
      </c>
      <c r="F149" s="18" t="s">
        <v>169</v>
      </c>
      <c r="G149" s="18" t="s">
        <v>121</v>
      </c>
      <c r="H149" s="18">
        <v>27</v>
      </c>
      <c r="I149" s="18" t="s">
        <v>238</v>
      </c>
      <c r="J149" s="18" t="s">
        <v>538</v>
      </c>
      <c r="K149" s="18" t="s">
        <v>103</v>
      </c>
      <c r="L149" s="18" t="s">
        <v>171</v>
      </c>
      <c r="M149" s="18" t="s">
        <v>255</v>
      </c>
      <c r="N149" s="18" t="s">
        <v>157</v>
      </c>
      <c r="O149" s="18" t="s">
        <v>163</v>
      </c>
      <c r="P149" s="18" t="s">
        <v>539</v>
      </c>
      <c r="Q149" s="18">
        <f>IFERROR(MATCH(K149,Niveles!$B$2:$B$10,0),"")</f>
        <v>2</v>
      </c>
    </row>
    <row r="150" spans="1:17" x14ac:dyDescent="0.25">
      <c r="A150" s="18" t="s">
        <v>50</v>
      </c>
      <c r="B150" s="18">
        <v>1895</v>
      </c>
      <c r="C150" s="18" t="s">
        <v>540</v>
      </c>
      <c r="D150" s="18"/>
      <c r="E150" s="18" t="s">
        <v>541</v>
      </c>
      <c r="F150" s="18" t="s">
        <v>169</v>
      </c>
      <c r="G150" s="18" t="s">
        <v>542</v>
      </c>
      <c r="H150" s="18">
        <v>116</v>
      </c>
      <c r="I150" s="18" t="s">
        <v>238</v>
      </c>
      <c r="J150" s="18" t="s">
        <v>538</v>
      </c>
      <c r="K150" s="18" t="s">
        <v>103</v>
      </c>
      <c r="L150" s="18" t="s">
        <v>171</v>
      </c>
      <c r="M150" s="18" t="s">
        <v>255</v>
      </c>
      <c r="N150" s="18" t="s">
        <v>157</v>
      </c>
      <c r="O150" s="18" t="s">
        <v>163</v>
      </c>
      <c r="P150" s="18" t="s">
        <v>543</v>
      </c>
      <c r="Q150" s="18">
        <f>IFERROR(MATCH(K150,Niveles!$B$2:$B$10,0),"")</f>
        <v>2</v>
      </c>
    </row>
    <row r="151" spans="1:17" x14ac:dyDescent="0.25">
      <c r="A151" s="18" t="s">
        <v>50</v>
      </c>
      <c r="B151" s="18">
        <v>1895</v>
      </c>
      <c r="C151" s="18" t="s">
        <v>544</v>
      </c>
      <c r="D151" s="18"/>
      <c r="E151" s="18" t="s">
        <v>545</v>
      </c>
      <c r="F151" s="18" t="s">
        <v>169</v>
      </c>
      <c r="G151" s="18" t="s">
        <v>546</v>
      </c>
      <c r="H151" s="18">
        <v>203</v>
      </c>
      <c r="I151" s="18" t="s">
        <v>238</v>
      </c>
      <c r="J151" s="18" t="s">
        <v>538</v>
      </c>
      <c r="K151" s="18" t="s">
        <v>103</v>
      </c>
      <c r="L151" s="18" t="s">
        <v>171</v>
      </c>
      <c r="M151" s="18" t="s">
        <v>255</v>
      </c>
      <c r="N151" s="18" t="s">
        <v>157</v>
      </c>
      <c r="O151" s="18" t="s">
        <v>163</v>
      </c>
      <c r="P151" s="18" t="s">
        <v>547</v>
      </c>
      <c r="Q151" s="18">
        <f>IFERROR(MATCH(K151,Niveles!$B$2:$B$10,0),"")</f>
        <v>2</v>
      </c>
    </row>
    <row r="152" spans="1:17" x14ac:dyDescent="0.25">
      <c r="A152" s="18" t="s">
        <v>50</v>
      </c>
      <c r="B152" s="18">
        <v>1895</v>
      </c>
      <c r="C152" s="18" t="s">
        <v>548</v>
      </c>
      <c r="D152" s="18"/>
      <c r="E152" s="18" t="s">
        <v>549</v>
      </c>
      <c r="F152" s="18" t="s">
        <v>169</v>
      </c>
      <c r="G152" s="18" t="s">
        <v>550</v>
      </c>
      <c r="H152" s="18">
        <v>312</v>
      </c>
      <c r="I152" s="18" t="s">
        <v>238</v>
      </c>
      <c r="J152" s="18" t="s">
        <v>538</v>
      </c>
      <c r="K152" s="18" t="s">
        <v>103</v>
      </c>
      <c r="L152" s="18" t="s">
        <v>171</v>
      </c>
      <c r="M152" s="18" t="s">
        <v>255</v>
      </c>
      <c r="N152" s="18" t="s">
        <v>157</v>
      </c>
      <c r="O152" s="18" t="s">
        <v>163</v>
      </c>
      <c r="P152" s="18" t="s">
        <v>551</v>
      </c>
      <c r="Q152" s="18">
        <f>IFERROR(MATCH(K152,Niveles!$B$2:$B$10,0),"")</f>
        <v>2</v>
      </c>
    </row>
    <row r="153" spans="1:17" x14ac:dyDescent="0.25">
      <c r="A153" s="18" t="s">
        <v>50</v>
      </c>
      <c r="B153" s="18">
        <v>1895</v>
      </c>
      <c r="C153" s="18" t="s">
        <v>552</v>
      </c>
      <c r="D153" s="18"/>
      <c r="E153" s="18" t="s">
        <v>553</v>
      </c>
      <c r="F153" s="18" t="s">
        <v>169</v>
      </c>
      <c r="G153" s="18" t="s">
        <v>554</v>
      </c>
      <c r="H153" s="18">
        <v>472</v>
      </c>
      <c r="I153" s="18" t="s">
        <v>238</v>
      </c>
      <c r="J153" s="18" t="s">
        <v>538</v>
      </c>
      <c r="K153" s="18" t="s">
        <v>103</v>
      </c>
      <c r="L153" s="18" t="s">
        <v>171</v>
      </c>
      <c r="M153" s="18" t="s">
        <v>255</v>
      </c>
      <c r="N153" s="18" t="s">
        <v>157</v>
      </c>
      <c r="O153" s="18" t="s">
        <v>163</v>
      </c>
      <c r="P153" s="18" t="s">
        <v>555</v>
      </c>
      <c r="Q153" s="18">
        <f>IFERROR(MATCH(K153,Niveles!$B$2:$B$10,0),"")</f>
        <v>2</v>
      </c>
    </row>
    <row r="154" spans="1:17" x14ac:dyDescent="0.25">
      <c r="A154" s="18" t="s">
        <v>50</v>
      </c>
      <c r="B154" s="18">
        <v>1895</v>
      </c>
      <c r="C154" s="18" t="s">
        <v>556</v>
      </c>
      <c r="D154" s="18"/>
      <c r="E154" s="18" t="s">
        <v>557</v>
      </c>
      <c r="F154" s="18" t="s">
        <v>161</v>
      </c>
      <c r="G154" s="18"/>
      <c r="H154" s="18"/>
      <c r="I154" s="18" t="s">
        <v>284</v>
      </c>
      <c r="J154" s="18"/>
      <c r="K154" s="18"/>
      <c r="L154" s="18"/>
      <c r="M154" s="18"/>
      <c r="N154" s="18"/>
      <c r="O154" s="18" t="s">
        <v>163</v>
      </c>
      <c r="P154" s="18" t="s">
        <v>558</v>
      </c>
      <c r="Q154" s="18" t="str">
        <f>IFERROR(MATCH(K154,Niveles!$B$2:$B$10,0),"")</f>
        <v/>
      </c>
    </row>
    <row r="155" spans="1:17" x14ac:dyDescent="0.25">
      <c r="A155" s="18" t="s">
        <v>50</v>
      </c>
      <c r="B155" s="18">
        <v>1895</v>
      </c>
      <c r="C155" s="18" t="s">
        <v>559</v>
      </c>
      <c r="D155" s="18"/>
      <c r="E155" s="18" t="s">
        <v>560</v>
      </c>
      <c r="F155" s="18" t="s">
        <v>169</v>
      </c>
      <c r="G155" s="18" t="s">
        <v>121</v>
      </c>
      <c r="H155" s="18">
        <v>615</v>
      </c>
      <c r="I155" s="18" t="s">
        <v>238</v>
      </c>
      <c r="J155" s="18" t="s">
        <v>538</v>
      </c>
      <c r="K155" s="18" t="s">
        <v>103</v>
      </c>
      <c r="L155" s="18" t="s">
        <v>171</v>
      </c>
      <c r="M155" s="18" t="s">
        <v>255</v>
      </c>
      <c r="N155" s="18" t="s">
        <v>157</v>
      </c>
      <c r="O155" s="18" t="s">
        <v>163</v>
      </c>
      <c r="P155" s="18" t="s">
        <v>561</v>
      </c>
      <c r="Q155" s="18">
        <f>IFERROR(MATCH(K155,Niveles!$B$2:$B$10,0),"")</f>
        <v>2</v>
      </c>
    </row>
    <row r="156" spans="1:17" x14ac:dyDescent="0.25">
      <c r="A156" s="18" t="s">
        <v>50</v>
      </c>
      <c r="B156" s="18">
        <v>1895</v>
      </c>
      <c r="C156" s="18" t="s">
        <v>562</v>
      </c>
      <c r="D156" s="18"/>
      <c r="E156" s="18" t="s">
        <v>563</v>
      </c>
      <c r="F156" s="18" t="s">
        <v>169</v>
      </c>
      <c r="G156" s="18" t="s">
        <v>564</v>
      </c>
      <c r="H156" s="18">
        <v>789</v>
      </c>
      <c r="I156" s="18" t="s">
        <v>238</v>
      </c>
      <c r="J156" s="18" t="s">
        <v>538</v>
      </c>
      <c r="K156" s="18" t="s">
        <v>103</v>
      </c>
      <c r="L156" s="18" t="s">
        <v>171</v>
      </c>
      <c r="M156" s="18" t="s">
        <v>255</v>
      </c>
      <c r="N156" s="18" t="s">
        <v>157</v>
      </c>
      <c r="O156" s="18" t="s">
        <v>163</v>
      </c>
      <c r="P156" s="18" t="s">
        <v>565</v>
      </c>
      <c r="Q156" s="18">
        <f>IFERROR(MATCH(K156,Niveles!$B$2:$B$10,0),"")</f>
        <v>2</v>
      </c>
    </row>
    <row r="157" spans="1:17" x14ac:dyDescent="0.25">
      <c r="A157" s="18" t="s">
        <v>50</v>
      </c>
      <c r="B157" s="18">
        <v>1895</v>
      </c>
      <c r="C157" s="18" t="s">
        <v>566</v>
      </c>
      <c r="D157" s="18"/>
      <c r="E157" s="18" t="s">
        <v>567</v>
      </c>
      <c r="F157" s="18" t="s">
        <v>169</v>
      </c>
      <c r="G157" s="18" t="s">
        <v>568</v>
      </c>
      <c r="H157" s="18">
        <v>987</v>
      </c>
      <c r="I157" s="18" t="s">
        <v>238</v>
      </c>
      <c r="J157" s="18" t="s">
        <v>538</v>
      </c>
      <c r="K157" s="18" t="s">
        <v>103</v>
      </c>
      <c r="L157" s="18" t="s">
        <v>171</v>
      </c>
      <c r="M157" s="18" t="s">
        <v>255</v>
      </c>
      <c r="N157" s="18" t="s">
        <v>157</v>
      </c>
      <c r="O157" s="18" t="s">
        <v>163</v>
      </c>
      <c r="P157" s="18" t="s">
        <v>569</v>
      </c>
      <c r="Q157" s="18">
        <f>IFERROR(MATCH(K157,Niveles!$B$2:$B$10,0),"")</f>
        <v>2</v>
      </c>
    </row>
    <row r="158" spans="1:17" x14ac:dyDescent="0.25">
      <c r="A158" s="18" t="s">
        <v>50</v>
      </c>
      <c r="B158" s="18">
        <v>1895</v>
      </c>
      <c r="C158" s="18" t="s">
        <v>570</v>
      </c>
      <c r="D158" s="18"/>
      <c r="E158" s="18" t="s">
        <v>571</v>
      </c>
      <c r="F158" s="18" t="s">
        <v>169</v>
      </c>
      <c r="G158" s="18" t="s">
        <v>572</v>
      </c>
      <c r="H158" s="18">
        <v>1078</v>
      </c>
      <c r="I158" s="18" t="s">
        <v>238</v>
      </c>
      <c r="J158" s="18" t="s">
        <v>538</v>
      </c>
      <c r="K158" s="18" t="s">
        <v>103</v>
      </c>
      <c r="L158" s="18" t="s">
        <v>171</v>
      </c>
      <c r="M158" s="18" t="s">
        <v>255</v>
      </c>
      <c r="N158" s="18" t="s">
        <v>157</v>
      </c>
      <c r="O158" s="18" t="s">
        <v>163</v>
      </c>
      <c r="P158" s="18" t="s">
        <v>573</v>
      </c>
      <c r="Q158" s="18">
        <f>IFERROR(MATCH(K158,Niveles!$B$2:$B$10,0),"")</f>
        <v>2</v>
      </c>
    </row>
    <row r="159" spans="1:17" x14ac:dyDescent="0.25">
      <c r="A159" s="18" t="s">
        <v>50</v>
      </c>
      <c r="B159" s="18">
        <v>1895</v>
      </c>
      <c r="C159" s="18" t="s">
        <v>570</v>
      </c>
      <c r="D159" s="18"/>
      <c r="E159" s="18" t="s">
        <v>574</v>
      </c>
      <c r="F159" s="18" t="s">
        <v>145</v>
      </c>
      <c r="G159" s="18" t="s">
        <v>575</v>
      </c>
      <c r="H159" s="18">
        <v>1118</v>
      </c>
      <c r="I159" s="18" t="s">
        <v>162</v>
      </c>
      <c r="J159" s="18" t="s">
        <v>538</v>
      </c>
      <c r="K159" s="18" t="s">
        <v>105</v>
      </c>
      <c r="L159" s="18" t="s">
        <v>171</v>
      </c>
      <c r="M159" s="18" t="s">
        <v>172</v>
      </c>
      <c r="N159" s="18" t="s">
        <v>162</v>
      </c>
      <c r="O159" s="18" t="s">
        <v>175</v>
      </c>
      <c r="P159" s="18" t="s">
        <v>576</v>
      </c>
      <c r="Q159" s="18">
        <f>IFERROR(MATCH(K159,Niveles!$B$2:$B$10,0),"")</f>
        <v>6</v>
      </c>
    </row>
    <row r="160" spans="1:17" x14ac:dyDescent="0.25">
      <c r="A160" s="18" t="s">
        <v>50</v>
      </c>
      <c r="B160" s="18">
        <v>1895</v>
      </c>
      <c r="C160" s="18" t="s">
        <v>577</v>
      </c>
      <c r="D160" s="18"/>
      <c r="E160" s="18" t="s">
        <v>578</v>
      </c>
      <c r="F160" s="18" t="s">
        <v>169</v>
      </c>
      <c r="G160" s="18" t="s">
        <v>579</v>
      </c>
      <c r="H160" s="18">
        <v>1163</v>
      </c>
      <c r="I160" s="18" t="s">
        <v>238</v>
      </c>
      <c r="J160" s="18" t="s">
        <v>538</v>
      </c>
      <c r="K160" s="18" t="s">
        <v>103</v>
      </c>
      <c r="L160" s="18" t="s">
        <v>171</v>
      </c>
      <c r="M160" s="18" t="s">
        <v>255</v>
      </c>
      <c r="N160" s="18" t="s">
        <v>157</v>
      </c>
      <c r="O160" s="18" t="s">
        <v>163</v>
      </c>
      <c r="P160" s="18" t="s">
        <v>580</v>
      </c>
      <c r="Q160" s="18">
        <f>IFERROR(MATCH(K160,Niveles!$B$2:$B$10,0),"")</f>
        <v>2</v>
      </c>
    </row>
    <row r="161" spans="1:17" x14ac:dyDescent="0.25">
      <c r="A161" s="18" t="s">
        <v>50</v>
      </c>
      <c r="B161" s="18">
        <v>1895</v>
      </c>
      <c r="C161" s="18" t="s">
        <v>581</v>
      </c>
      <c r="D161" s="18"/>
      <c r="E161" s="18" t="s">
        <v>582</v>
      </c>
      <c r="F161" s="18" t="s">
        <v>169</v>
      </c>
      <c r="G161" s="18" t="s">
        <v>445</v>
      </c>
      <c r="H161" s="18">
        <v>1240</v>
      </c>
      <c r="I161" s="18" t="s">
        <v>238</v>
      </c>
      <c r="J161" s="18" t="s">
        <v>538</v>
      </c>
      <c r="K161" s="18" t="s">
        <v>103</v>
      </c>
      <c r="L161" s="18" t="s">
        <v>171</v>
      </c>
      <c r="M161" s="18" t="s">
        <v>255</v>
      </c>
      <c r="N161" s="18" t="s">
        <v>157</v>
      </c>
      <c r="O161" s="18" t="s">
        <v>163</v>
      </c>
      <c r="P161" s="18" t="s">
        <v>583</v>
      </c>
      <c r="Q161" s="18">
        <f>IFERROR(MATCH(K161,Niveles!$B$2:$B$10,0),"")</f>
        <v>2</v>
      </c>
    </row>
    <row r="162" spans="1:17" x14ac:dyDescent="0.25">
      <c r="A162" s="18" t="s">
        <v>50</v>
      </c>
      <c r="B162" s="18">
        <v>1895</v>
      </c>
      <c r="C162" s="18" t="s">
        <v>584</v>
      </c>
      <c r="D162" s="18"/>
      <c r="E162" s="18" t="s">
        <v>557</v>
      </c>
      <c r="F162" s="18" t="s">
        <v>161</v>
      </c>
      <c r="G162" s="18"/>
      <c r="H162" s="18"/>
      <c r="I162" s="18" t="s">
        <v>284</v>
      </c>
      <c r="J162" s="18"/>
      <c r="K162" s="18"/>
      <c r="L162" s="18"/>
      <c r="M162" s="18"/>
      <c r="N162" s="18"/>
      <c r="O162" s="18" t="s">
        <v>163</v>
      </c>
      <c r="P162" s="18" t="s">
        <v>585</v>
      </c>
      <c r="Q162" s="18" t="str">
        <f>IFERROR(MATCH(K162,Niveles!$B$2:$B$10,0),"")</f>
        <v/>
      </c>
    </row>
    <row r="163" spans="1:17" x14ac:dyDescent="0.25">
      <c r="A163" s="18" t="s">
        <v>50</v>
      </c>
      <c r="B163" s="18">
        <v>1895</v>
      </c>
      <c r="C163" s="18" t="s">
        <v>586</v>
      </c>
      <c r="D163" s="18"/>
      <c r="E163" s="18" t="s">
        <v>587</v>
      </c>
      <c r="F163" s="18" t="s">
        <v>169</v>
      </c>
      <c r="G163" s="18" t="s">
        <v>121</v>
      </c>
      <c r="H163" s="18">
        <v>1332</v>
      </c>
      <c r="I163" s="18" t="s">
        <v>238</v>
      </c>
      <c r="J163" s="18" t="s">
        <v>538</v>
      </c>
      <c r="K163" s="18" t="s">
        <v>103</v>
      </c>
      <c r="L163" s="18" t="s">
        <v>171</v>
      </c>
      <c r="M163" s="18" t="s">
        <v>255</v>
      </c>
      <c r="N163" s="18" t="s">
        <v>157</v>
      </c>
      <c r="O163" s="18" t="s">
        <v>163</v>
      </c>
      <c r="P163" s="18" t="s">
        <v>588</v>
      </c>
      <c r="Q163" s="18">
        <f>IFERROR(MATCH(K163,Niveles!$B$2:$B$10,0),"")</f>
        <v>2</v>
      </c>
    </row>
    <row r="164" spans="1:17" x14ac:dyDescent="0.25">
      <c r="A164" s="18" t="s">
        <v>50</v>
      </c>
      <c r="B164" s="18">
        <v>1895</v>
      </c>
      <c r="C164" s="18" t="s">
        <v>589</v>
      </c>
      <c r="D164" s="18"/>
      <c r="E164" s="18" t="s">
        <v>590</v>
      </c>
      <c r="F164" s="18" t="s">
        <v>169</v>
      </c>
      <c r="G164" s="18" t="s">
        <v>591</v>
      </c>
      <c r="H164" s="18">
        <v>1412</v>
      </c>
      <c r="I164" s="18" t="s">
        <v>238</v>
      </c>
      <c r="J164" s="18" t="s">
        <v>538</v>
      </c>
      <c r="K164" s="18" t="s">
        <v>103</v>
      </c>
      <c r="L164" s="18" t="s">
        <v>171</v>
      </c>
      <c r="M164" s="18" t="s">
        <v>255</v>
      </c>
      <c r="N164" s="18" t="s">
        <v>157</v>
      </c>
      <c r="O164" s="18" t="s">
        <v>163</v>
      </c>
      <c r="P164" s="18" t="s">
        <v>592</v>
      </c>
      <c r="Q164" s="18">
        <f>IFERROR(MATCH(K164,Niveles!$B$2:$B$10,0),"")</f>
        <v>2</v>
      </c>
    </row>
    <row r="165" spans="1:17" x14ac:dyDescent="0.25">
      <c r="A165" s="18" t="s">
        <v>50</v>
      </c>
      <c r="B165" s="18">
        <v>1895</v>
      </c>
      <c r="C165" s="18" t="s">
        <v>593</v>
      </c>
      <c r="D165" s="18"/>
      <c r="E165" s="18" t="s">
        <v>594</v>
      </c>
      <c r="F165" s="18" t="s">
        <v>169</v>
      </c>
      <c r="G165" s="18" t="s">
        <v>546</v>
      </c>
      <c r="H165" s="18">
        <v>1509</v>
      </c>
      <c r="I165" s="18" t="s">
        <v>238</v>
      </c>
      <c r="J165" s="18" t="s">
        <v>538</v>
      </c>
      <c r="K165" s="18" t="s">
        <v>103</v>
      </c>
      <c r="L165" s="18" t="s">
        <v>171</v>
      </c>
      <c r="M165" s="18" t="s">
        <v>255</v>
      </c>
      <c r="N165" s="18" t="s">
        <v>157</v>
      </c>
      <c r="O165" s="18" t="s">
        <v>163</v>
      </c>
      <c r="P165" s="18" t="s">
        <v>595</v>
      </c>
      <c r="Q165" s="18">
        <f>IFERROR(MATCH(K165,Niveles!$B$2:$B$10,0),"")</f>
        <v>2</v>
      </c>
    </row>
    <row r="166" spans="1:17" x14ac:dyDescent="0.25">
      <c r="A166" s="18" t="s">
        <v>50</v>
      </c>
      <c r="B166" s="18">
        <v>1895</v>
      </c>
      <c r="C166" s="18" t="s">
        <v>596</v>
      </c>
      <c r="D166" s="18"/>
      <c r="E166" s="18" t="s">
        <v>597</v>
      </c>
      <c r="F166" s="18" t="s">
        <v>169</v>
      </c>
      <c r="G166" s="18" t="s">
        <v>598</v>
      </c>
      <c r="H166" s="18">
        <v>1629</v>
      </c>
      <c r="I166" s="18" t="s">
        <v>238</v>
      </c>
      <c r="J166" s="18" t="s">
        <v>538</v>
      </c>
      <c r="K166" s="18" t="s">
        <v>103</v>
      </c>
      <c r="L166" s="18" t="s">
        <v>171</v>
      </c>
      <c r="M166" s="18" t="s">
        <v>255</v>
      </c>
      <c r="N166" s="18" t="s">
        <v>157</v>
      </c>
      <c r="O166" s="18" t="s">
        <v>163</v>
      </c>
      <c r="P166" s="18" t="s">
        <v>599</v>
      </c>
      <c r="Q166" s="18">
        <f>IFERROR(MATCH(K166,Niveles!$B$2:$B$10,0),"")</f>
        <v>2</v>
      </c>
    </row>
    <row r="167" spans="1:17" x14ac:dyDescent="0.25">
      <c r="A167" s="18" t="s">
        <v>50</v>
      </c>
      <c r="B167" s="18">
        <v>1895</v>
      </c>
      <c r="C167" s="18" t="s">
        <v>600</v>
      </c>
      <c r="D167" s="18"/>
      <c r="E167" s="18" t="s">
        <v>601</v>
      </c>
      <c r="F167" s="18" t="s">
        <v>169</v>
      </c>
      <c r="G167" s="18" t="s">
        <v>419</v>
      </c>
      <c r="H167" s="18">
        <v>1786</v>
      </c>
      <c r="I167" s="18" t="s">
        <v>238</v>
      </c>
      <c r="J167" s="18" t="s">
        <v>538</v>
      </c>
      <c r="K167" s="18" t="s">
        <v>103</v>
      </c>
      <c r="L167" s="18" t="s">
        <v>171</v>
      </c>
      <c r="M167" s="18" t="s">
        <v>255</v>
      </c>
      <c r="N167" s="18" t="s">
        <v>157</v>
      </c>
      <c r="O167" s="18" t="s">
        <v>163</v>
      </c>
      <c r="P167" s="18" t="s">
        <v>602</v>
      </c>
      <c r="Q167" s="18">
        <f>IFERROR(MATCH(K167,Niveles!$B$2:$B$10,0),"")</f>
        <v>2</v>
      </c>
    </row>
    <row r="168" spans="1:17" x14ac:dyDescent="0.25">
      <c r="A168" s="18" t="s">
        <v>50</v>
      </c>
      <c r="B168" s="18">
        <v>1895</v>
      </c>
      <c r="C168" s="18" t="s">
        <v>603</v>
      </c>
      <c r="D168" s="18"/>
      <c r="E168" s="18" t="s">
        <v>604</v>
      </c>
      <c r="F168" s="18" t="s">
        <v>169</v>
      </c>
      <c r="G168" s="18" t="s">
        <v>605</v>
      </c>
      <c r="H168" s="18">
        <v>1876</v>
      </c>
      <c r="I168" s="18" t="s">
        <v>238</v>
      </c>
      <c r="J168" s="18" t="s">
        <v>538</v>
      </c>
      <c r="K168" s="18" t="s">
        <v>103</v>
      </c>
      <c r="L168" s="18" t="s">
        <v>171</v>
      </c>
      <c r="M168" s="18" t="s">
        <v>255</v>
      </c>
      <c r="N168" s="18" t="s">
        <v>157</v>
      </c>
      <c r="O168" s="18" t="s">
        <v>163</v>
      </c>
      <c r="P168" s="18" t="s">
        <v>606</v>
      </c>
      <c r="Q168" s="18">
        <f>IFERROR(MATCH(K168,Niveles!$B$2:$B$10,0),"")</f>
        <v>2</v>
      </c>
    </row>
    <row r="169" spans="1:17" x14ac:dyDescent="0.25">
      <c r="A169" s="18" t="s">
        <v>50</v>
      </c>
      <c r="B169" s="18">
        <v>1895</v>
      </c>
      <c r="C169" s="18" t="s">
        <v>607</v>
      </c>
      <c r="D169" s="18"/>
      <c r="E169" s="18" t="s">
        <v>557</v>
      </c>
      <c r="F169" s="18" t="s">
        <v>161</v>
      </c>
      <c r="G169" s="18"/>
      <c r="H169" s="18"/>
      <c r="I169" s="18" t="s">
        <v>284</v>
      </c>
      <c r="J169" s="18"/>
      <c r="K169" s="18"/>
      <c r="L169" s="18"/>
      <c r="M169" s="18"/>
      <c r="N169" s="18"/>
      <c r="O169" s="18" t="s">
        <v>163</v>
      </c>
      <c r="P169" s="18" t="s">
        <v>608</v>
      </c>
      <c r="Q169" s="18" t="str">
        <f>IFERROR(MATCH(K169,Niveles!$B$2:$B$10,0),"")</f>
        <v/>
      </c>
    </row>
    <row r="170" spans="1:17" x14ac:dyDescent="0.25">
      <c r="A170" s="18" t="s">
        <v>50</v>
      </c>
      <c r="B170" s="18">
        <v>1895</v>
      </c>
      <c r="C170" s="18" t="s">
        <v>609</v>
      </c>
      <c r="D170" s="18"/>
      <c r="E170" s="18" t="s">
        <v>610</v>
      </c>
      <c r="F170" s="18" t="s">
        <v>169</v>
      </c>
      <c r="G170" s="18" t="s">
        <v>121</v>
      </c>
      <c r="H170" s="18">
        <v>2001</v>
      </c>
      <c r="I170" s="18" t="s">
        <v>238</v>
      </c>
      <c r="J170" s="18" t="s">
        <v>538</v>
      </c>
      <c r="K170" s="18" t="s">
        <v>103</v>
      </c>
      <c r="L170" s="18" t="s">
        <v>171</v>
      </c>
      <c r="M170" s="18" t="s">
        <v>255</v>
      </c>
      <c r="N170" s="18" t="s">
        <v>157</v>
      </c>
      <c r="O170" s="18" t="s">
        <v>163</v>
      </c>
      <c r="P170" s="18" t="s">
        <v>611</v>
      </c>
      <c r="Q170" s="18">
        <f>IFERROR(MATCH(K170,Niveles!$B$2:$B$10,0),"")</f>
        <v>2</v>
      </c>
    </row>
    <row r="171" spans="1:17" x14ac:dyDescent="0.25">
      <c r="A171" s="18" t="s">
        <v>50</v>
      </c>
      <c r="B171" s="18">
        <v>1895</v>
      </c>
      <c r="C171" s="18" t="s">
        <v>612</v>
      </c>
      <c r="D171" s="18"/>
      <c r="E171" s="18" t="s">
        <v>613</v>
      </c>
      <c r="F171" s="18" t="s">
        <v>169</v>
      </c>
      <c r="G171" s="18" t="s">
        <v>311</v>
      </c>
      <c r="H171" s="18">
        <v>2100</v>
      </c>
      <c r="I171" s="18" t="s">
        <v>238</v>
      </c>
      <c r="J171" s="18" t="s">
        <v>538</v>
      </c>
      <c r="K171" s="18" t="s">
        <v>103</v>
      </c>
      <c r="L171" s="18" t="s">
        <v>171</v>
      </c>
      <c r="M171" s="18" t="s">
        <v>255</v>
      </c>
      <c r="N171" s="18" t="s">
        <v>157</v>
      </c>
      <c r="O171" s="18" t="s">
        <v>163</v>
      </c>
      <c r="P171" s="18" t="s">
        <v>614</v>
      </c>
      <c r="Q171" s="18">
        <f>IFERROR(MATCH(K171,Niveles!$B$2:$B$10,0),"")</f>
        <v>2</v>
      </c>
    </row>
    <row r="172" spans="1:17" x14ac:dyDescent="0.25">
      <c r="A172" s="18" t="s">
        <v>50</v>
      </c>
      <c r="B172" s="18">
        <v>1895</v>
      </c>
      <c r="C172" s="18" t="s">
        <v>615</v>
      </c>
      <c r="D172" s="18"/>
      <c r="E172" s="18" t="s">
        <v>616</v>
      </c>
      <c r="F172" s="18" t="s">
        <v>169</v>
      </c>
      <c r="G172" s="18" t="s">
        <v>617</v>
      </c>
      <c r="H172" s="18">
        <v>2158</v>
      </c>
      <c r="I172" s="18" t="s">
        <v>238</v>
      </c>
      <c r="J172" s="18" t="s">
        <v>538</v>
      </c>
      <c r="K172" s="18" t="s">
        <v>103</v>
      </c>
      <c r="L172" s="18" t="s">
        <v>171</v>
      </c>
      <c r="M172" s="18" t="s">
        <v>255</v>
      </c>
      <c r="N172" s="18" t="s">
        <v>157</v>
      </c>
      <c r="O172" s="18" t="s">
        <v>163</v>
      </c>
      <c r="P172" s="18" t="s">
        <v>618</v>
      </c>
      <c r="Q172" s="18">
        <f>IFERROR(MATCH(K172,Niveles!$B$2:$B$10,0),"")</f>
        <v>2</v>
      </c>
    </row>
    <row r="173" spans="1:17" x14ac:dyDescent="0.25">
      <c r="A173" s="18" t="s">
        <v>50</v>
      </c>
      <c r="B173" s="18">
        <v>1895</v>
      </c>
      <c r="C173" s="18" t="s">
        <v>619</v>
      </c>
      <c r="D173" s="18"/>
      <c r="E173" s="18" t="s">
        <v>620</v>
      </c>
      <c r="F173" s="18" t="s">
        <v>169</v>
      </c>
      <c r="G173" s="18" t="s">
        <v>621</v>
      </c>
      <c r="H173" s="18">
        <v>2233</v>
      </c>
      <c r="I173" s="18" t="s">
        <v>238</v>
      </c>
      <c r="J173" s="18" t="s">
        <v>538</v>
      </c>
      <c r="K173" s="18" t="s">
        <v>103</v>
      </c>
      <c r="L173" s="18" t="s">
        <v>171</v>
      </c>
      <c r="M173" s="18" t="s">
        <v>255</v>
      </c>
      <c r="N173" s="18" t="s">
        <v>157</v>
      </c>
      <c r="O173" s="18" t="s">
        <v>163</v>
      </c>
      <c r="P173" s="18" t="s">
        <v>622</v>
      </c>
      <c r="Q173" s="18">
        <f>IFERROR(MATCH(K173,Niveles!$B$2:$B$10,0),"")</f>
        <v>2</v>
      </c>
    </row>
    <row r="174" spans="1:17" x14ac:dyDescent="0.25">
      <c r="A174" s="18" t="s">
        <v>50</v>
      </c>
      <c r="B174" s="18">
        <v>1895</v>
      </c>
      <c r="C174" s="18" t="s">
        <v>623</v>
      </c>
      <c r="D174" s="18"/>
      <c r="E174" s="18" t="s">
        <v>624</v>
      </c>
      <c r="F174" s="18" t="s">
        <v>169</v>
      </c>
      <c r="G174" s="18" t="s">
        <v>625</v>
      </c>
      <c r="H174" s="18">
        <v>2324</v>
      </c>
      <c r="I174" s="18" t="s">
        <v>238</v>
      </c>
      <c r="J174" s="18" t="s">
        <v>538</v>
      </c>
      <c r="K174" s="18" t="s">
        <v>103</v>
      </c>
      <c r="L174" s="18" t="s">
        <v>171</v>
      </c>
      <c r="M174" s="18" t="s">
        <v>255</v>
      </c>
      <c r="N174" s="18" t="s">
        <v>157</v>
      </c>
      <c r="O174" s="18" t="s">
        <v>163</v>
      </c>
      <c r="P174" s="18" t="s">
        <v>626</v>
      </c>
      <c r="Q174" s="18">
        <f>IFERROR(MATCH(K174,Niveles!$B$2:$B$10,0),"")</f>
        <v>2</v>
      </c>
    </row>
    <row r="175" spans="1:17" x14ac:dyDescent="0.25">
      <c r="A175" s="18" t="s">
        <v>50</v>
      </c>
      <c r="B175" s="18">
        <v>1895</v>
      </c>
      <c r="C175" s="18" t="s">
        <v>627</v>
      </c>
      <c r="D175" s="18"/>
      <c r="E175" s="18" t="s">
        <v>628</v>
      </c>
      <c r="F175" s="18" t="s">
        <v>169</v>
      </c>
      <c r="G175" s="18" t="s">
        <v>629</v>
      </c>
      <c r="H175" s="18">
        <v>2408</v>
      </c>
      <c r="I175" s="18" t="s">
        <v>238</v>
      </c>
      <c r="J175" s="18" t="s">
        <v>538</v>
      </c>
      <c r="K175" s="18" t="s">
        <v>103</v>
      </c>
      <c r="L175" s="18" t="s">
        <v>171</v>
      </c>
      <c r="M175" s="18" t="s">
        <v>255</v>
      </c>
      <c r="N175" s="18" t="s">
        <v>157</v>
      </c>
      <c r="O175" s="18" t="s">
        <v>163</v>
      </c>
      <c r="P175" s="18" t="s">
        <v>630</v>
      </c>
      <c r="Q175" s="18">
        <f>IFERROR(MATCH(K175,Niveles!$B$2:$B$10,0),"")</f>
        <v>2</v>
      </c>
    </row>
    <row r="176" spans="1:17" x14ac:dyDescent="0.25">
      <c r="A176" s="18" t="s">
        <v>50</v>
      </c>
      <c r="B176" s="18">
        <v>1895</v>
      </c>
      <c r="C176" s="18" t="s">
        <v>607</v>
      </c>
      <c r="D176" s="18"/>
      <c r="E176" s="18" t="s">
        <v>631</v>
      </c>
      <c r="F176" s="18" t="s">
        <v>161</v>
      </c>
      <c r="G176" s="18" t="s">
        <v>632</v>
      </c>
      <c r="H176" s="18">
        <v>2440</v>
      </c>
      <c r="I176" s="18" t="s">
        <v>162</v>
      </c>
      <c r="J176" s="18"/>
      <c r="K176" s="18"/>
      <c r="L176" s="18"/>
      <c r="M176" s="18"/>
      <c r="N176" s="18"/>
      <c r="O176" s="18" t="s">
        <v>163</v>
      </c>
      <c r="P176" s="18" t="s">
        <v>633</v>
      </c>
      <c r="Q176" s="18" t="str">
        <f>IFERROR(MATCH(K176,Niveles!$B$2:$B$10,0),"")</f>
        <v/>
      </c>
    </row>
    <row r="177" spans="1:17" x14ac:dyDescent="0.25">
      <c r="A177" s="18" t="s">
        <v>50</v>
      </c>
      <c r="B177" s="18">
        <v>1895</v>
      </c>
      <c r="C177" s="18" t="s">
        <v>634</v>
      </c>
      <c r="D177" s="18"/>
      <c r="E177" s="18" t="s">
        <v>635</v>
      </c>
      <c r="F177" s="18" t="s">
        <v>145</v>
      </c>
      <c r="G177" s="18" t="s">
        <v>636</v>
      </c>
      <c r="H177" s="18">
        <v>2455</v>
      </c>
      <c r="I177" s="18" t="s">
        <v>162</v>
      </c>
      <c r="J177" s="18" t="s">
        <v>538</v>
      </c>
      <c r="K177" s="18" t="s">
        <v>105</v>
      </c>
      <c r="L177" s="18" t="s">
        <v>171</v>
      </c>
      <c r="M177" s="18" t="s">
        <v>255</v>
      </c>
      <c r="N177" s="18" t="s">
        <v>162</v>
      </c>
      <c r="O177" s="18" t="s">
        <v>175</v>
      </c>
      <c r="P177" s="18" t="s">
        <v>637</v>
      </c>
      <c r="Q177" s="18">
        <f>IFERROR(MATCH(K177,Niveles!$B$2:$B$10,0),"")</f>
        <v>6</v>
      </c>
    </row>
    <row r="178" spans="1:17" x14ac:dyDescent="0.25">
      <c r="A178" s="18" t="s">
        <v>50</v>
      </c>
      <c r="B178" s="18">
        <v>1895</v>
      </c>
      <c r="C178" s="18" t="s">
        <v>634</v>
      </c>
      <c r="D178" s="18"/>
      <c r="E178" s="18" t="s">
        <v>515</v>
      </c>
      <c r="F178" s="18" t="s">
        <v>145</v>
      </c>
      <c r="G178" s="18" t="s">
        <v>638</v>
      </c>
      <c r="H178" s="18">
        <v>2477</v>
      </c>
      <c r="I178" s="18" t="s">
        <v>238</v>
      </c>
      <c r="J178" s="18"/>
      <c r="K178" s="18"/>
      <c r="L178" s="18"/>
      <c r="M178" s="18"/>
      <c r="N178" s="18"/>
      <c r="O178" s="18" t="s">
        <v>163</v>
      </c>
      <c r="P178" s="18" t="s">
        <v>633</v>
      </c>
      <c r="Q178" s="18" t="str">
        <f>IFERROR(MATCH(K178,Niveles!$B$2:$B$10,0),"")</f>
        <v/>
      </c>
    </row>
    <row r="179" spans="1:17" x14ac:dyDescent="0.25">
      <c r="A179" s="18" t="s">
        <v>50</v>
      </c>
      <c r="B179" s="18">
        <v>1895</v>
      </c>
      <c r="C179" s="18" t="s">
        <v>634</v>
      </c>
      <c r="D179" s="18"/>
      <c r="E179" s="18" t="s">
        <v>517</v>
      </c>
      <c r="F179" s="18" t="s">
        <v>145</v>
      </c>
      <c r="G179" s="18" t="s">
        <v>639</v>
      </c>
      <c r="H179" s="18">
        <v>2481</v>
      </c>
      <c r="I179" s="18" t="s">
        <v>238</v>
      </c>
      <c r="J179" s="18"/>
      <c r="K179" s="18"/>
      <c r="L179" s="18"/>
      <c r="M179" s="18"/>
      <c r="N179" s="18"/>
      <c r="O179" s="18" t="s">
        <v>163</v>
      </c>
      <c r="P179" s="18" t="s">
        <v>633</v>
      </c>
      <c r="Q179" s="18" t="str">
        <f>IFERROR(MATCH(K179,Niveles!$B$2:$B$10,0),"")</f>
        <v/>
      </c>
    </row>
    <row r="180" spans="1:17" x14ac:dyDescent="0.25">
      <c r="A180" s="18" t="s">
        <v>50</v>
      </c>
      <c r="B180" s="18">
        <v>1895</v>
      </c>
      <c r="C180" s="18" t="s">
        <v>634</v>
      </c>
      <c r="D180" s="18"/>
      <c r="E180" s="18" t="s">
        <v>359</v>
      </c>
      <c r="F180" s="18" t="s">
        <v>145</v>
      </c>
      <c r="G180" s="18" t="s">
        <v>640</v>
      </c>
      <c r="H180" s="18">
        <v>2485</v>
      </c>
      <c r="I180" s="18" t="s">
        <v>238</v>
      </c>
      <c r="J180" s="18"/>
      <c r="K180" s="18"/>
      <c r="L180" s="18"/>
      <c r="M180" s="18"/>
      <c r="N180" s="18"/>
      <c r="O180" s="18" t="s">
        <v>163</v>
      </c>
      <c r="P180" s="18" t="s">
        <v>633</v>
      </c>
      <c r="Q180" s="18" t="str">
        <f>IFERROR(MATCH(K180,Niveles!$B$2:$B$10,0),"")</f>
        <v/>
      </c>
    </row>
    <row r="181" spans="1:17" x14ac:dyDescent="0.25">
      <c r="A181" s="18" t="s">
        <v>50</v>
      </c>
      <c r="B181" s="18">
        <v>1895</v>
      </c>
      <c r="C181" s="18" t="s">
        <v>634</v>
      </c>
      <c r="D181" s="18"/>
      <c r="E181" s="18" t="s">
        <v>641</v>
      </c>
      <c r="F181" s="18" t="s">
        <v>145</v>
      </c>
      <c r="G181" s="18" t="s">
        <v>642</v>
      </c>
      <c r="H181" s="18">
        <v>2488</v>
      </c>
      <c r="I181" s="18" t="s">
        <v>238</v>
      </c>
      <c r="J181" s="18"/>
      <c r="K181" s="18"/>
      <c r="L181" s="18"/>
      <c r="M181" s="18"/>
      <c r="N181" s="18"/>
      <c r="O181" s="18" t="s">
        <v>163</v>
      </c>
      <c r="P181" s="18" t="s">
        <v>633</v>
      </c>
      <c r="Q181" s="18" t="str">
        <f>IFERROR(MATCH(K181,Niveles!$B$2:$B$10,0),"")</f>
        <v/>
      </c>
    </row>
    <row r="182" spans="1:17" x14ac:dyDescent="0.25">
      <c r="A182" s="18" t="s">
        <v>50</v>
      </c>
      <c r="B182" s="18">
        <v>1895</v>
      </c>
      <c r="C182" s="18" t="s">
        <v>634</v>
      </c>
      <c r="D182" s="18"/>
      <c r="E182" s="18" t="s">
        <v>643</v>
      </c>
      <c r="F182" s="18" t="s">
        <v>145</v>
      </c>
      <c r="G182" s="18" t="s">
        <v>644</v>
      </c>
      <c r="H182" s="18">
        <v>2489</v>
      </c>
      <c r="I182" s="18" t="s">
        <v>238</v>
      </c>
      <c r="J182" s="18"/>
      <c r="K182" s="18"/>
      <c r="L182" s="18"/>
      <c r="M182" s="18"/>
      <c r="N182" s="18"/>
      <c r="O182" s="18" t="s">
        <v>163</v>
      </c>
      <c r="P182" s="18" t="s">
        <v>633</v>
      </c>
      <c r="Q182" s="18" t="str">
        <f>IFERROR(MATCH(K182,Niveles!$B$2:$B$10,0),"")</f>
        <v/>
      </c>
    </row>
    <row r="183" spans="1:17" x14ac:dyDescent="0.25">
      <c r="A183" s="18" t="s">
        <v>50</v>
      </c>
      <c r="B183" s="18">
        <v>1895</v>
      </c>
      <c r="C183" s="18" t="s">
        <v>634</v>
      </c>
      <c r="D183" s="18"/>
      <c r="E183" s="18" t="s">
        <v>645</v>
      </c>
      <c r="F183" s="18" t="s">
        <v>145</v>
      </c>
      <c r="G183" s="18" t="s">
        <v>646</v>
      </c>
      <c r="H183" s="18">
        <v>2490</v>
      </c>
      <c r="I183" s="18" t="s">
        <v>238</v>
      </c>
      <c r="J183" s="18"/>
      <c r="K183" s="18"/>
      <c r="L183" s="18"/>
      <c r="M183" s="18"/>
      <c r="N183" s="18"/>
      <c r="O183" s="18" t="s">
        <v>163</v>
      </c>
      <c r="P183" s="18" t="s">
        <v>633</v>
      </c>
      <c r="Q183" s="18" t="str">
        <f>IFERROR(MATCH(K183,Niveles!$B$2:$B$10,0),"")</f>
        <v/>
      </c>
    </row>
    <row r="184" spans="1:17" x14ac:dyDescent="0.25">
      <c r="A184" s="18" t="s">
        <v>50</v>
      </c>
      <c r="B184" s="18">
        <v>1895</v>
      </c>
      <c r="C184" s="18" t="s">
        <v>634</v>
      </c>
      <c r="D184" s="18"/>
      <c r="E184" s="18" t="s">
        <v>647</v>
      </c>
      <c r="F184" s="18" t="s">
        <v>145</v>
      </c>
      <c r="G184" s="18" t="s">
        <v>648</v>
      </c>
      <c r="H184" s="18">
        <v>2492</v>
      </c>
      <c r="I184" s="18" t="s">
        <v>238</v>
      </c>
      <c r="J184" s="18"/>
      <c r="K184" s="18"/>
      <c r="L184" s="18"/>
      <c r="M184" s="18"/>
      <c r="N184" s="18"/>
      <c r="O184" s="18" t="s">
        <v>163</v>
      </c>
      <c r="P184" s="18" t="s">
        <v>633</v>
      </c>
      <c r="Q184" s="18" t="str">
        <f>IFERROR(MATCH(K184,Niveles!$B$2:$B$10,0),"")</f>
        <v/>
      </c>
    </row>
    <row r="185" spans="1:17" x14ac:dyDescent="0.25">
      <c r="A185" s="18" t="s">
        <v>50</v>
      </c>
      <c r="B185" s="18">
        <v>1895</v>
      </c>
      <c r="C185" s="18" t="s">
        <v>634</v>
      </c>
      <c r="D185" s="18"/>
      <c r="E185" s="18" t="s">
        <v>649</v>
      </c>
      <c r="F185" s="18" t="s">
        <v>145</v>
      </c>
      <c r="G185" s="18" t="s">
        <v>650</v>
      </c>
      <c r="H185" s="18">
        <v>2494</v>
      </c>
      <c r="I185" s="18" t="s">
        <v>238</v>
      </c>
      <c r="J185" s="18"/>
      <c r="K185" s="18"/>
      <c r="L185" s="18"/>
      <c r="M185" s="18"/>
      <c r="N185" s="18"/>
      <c r="O185" s="18" t="s">
        <v>163</v>
      </c>
      <c r="P185" s="18" t="s">
        <v>633</v>
      </c>
      <c r="Q185" s="18" t="str">
        <f>IFERROR(MATCH(K185,Niveles!$B$2:$B$10,0),"")</f>
        <v/>
      </c>
    </row>
    <row r="186" spans="1:17" x14ac:dyDescent="0.25">
      <c r="A186" s="18" t="s">
        <v>50</v>
      </c>
      <c r="B186" s="18">
        <v>1895</v>
      </c>
      <c r="C186" s="18" t="s">
        <v>634</v>
      </c>
      <c r="D186" s="18"/>
      <c r="E186" s="18" t="s">
        <v>651</v>
      </c>
      <c r="F186" s="18" t="s">
        <v>145</v>
      </c>
      <c r="G186" s="18" t="s">
        <v>652</v>
      </c>
      <c r="H186" s="18">
        <v>2504</v>
      </c>
      <c r="I186" s="18" t="s">
        <v>238</v>
      </c>
      <c r="J186" s="18"/>
      <c r="K186" s="18"/>
      <c r="L186" s="18"/>
      <c r="M186" s="18"/>
      <c r="N186" s="18"/>
      <c r="O186" s="18" t="s">
        <v>163</v>
      </c>
      <c r="P186" s="18" t="s">
        <v>633</v>
      </c>
      <c r="Q186" s="18" t="str">
        <f>IFERROR(MATCH(K186,Niveles!$B$2:$B$10,0),"")</f>
        <v/>
      </c>
    </row>
    <row r="187" spans="1:17" x14ac:dyDescent="0.25">
      <c r="A187" s="18" t="s">
        <v>50</v>
      </c>
      <c r="B187" s="18">
        <v>1895</v>
      </c>
      <c r="C187" s="18" t="s">
        <v>634</v>
      </c>
      <c r="D187" s="18"/>
      <c r="E187" s="18" t="s">
        <v>653</v>
      </c>
      <c r="F187" s="18" t="s">
        <v>145</v>
      </c>
      <c r="G187" s="18" t="s">
        <v>654</v>
      </c>
      <c r="H187" s="18">
        <v>2539</v>
      </c>
      <c r="I187" s="18" t="s">
        <v>162</v>
      </c>
      <c r="J187" s="18"/>
      <c r="K187" s="18"/>
      <c r="L187" s="18"/>
      <c r="M187" s="18"/>
      <c r="N187" s="18"/>
      <c r="O187" s="18" t="s">
        <v>163</v>
      </c>
      <c r="P187" s="18" t="s">
        <v>633</v>
      </c>
      <c r="Q187" s="18" t="str">
        <f>IFERROR(MATCH(K187,Niveles!$B$2:$B$10,0),"")</f>
        <v/>
      </c>
    </row>
    <row r="188" spans="1:17" x14ac:dyDescent="0.25">
      <c r="A188" s="18" t="s">
        <v>53</v>
      </c>
      <c r="B188" s="18">
        <v>1907</v>
      </c>
      <c r="C188" s="18" t="s">
        <v>159</v>
      </c>
      <c r="D188" s="18"/>
      <c r="E188" s="18" t="s">
        <v>655</v>
      </c>
      <c r="F188" s="18" t="s">
        <v>161</v>
      </c>
      <c r="G188" s="18"/>
      <c r="H188" s="18">
        <v>2</v>
      </c>
      <c r="I188" s="18" t="s">
        <v>162</v>
      </c>
      <c r="J188" s="18"/>
      <c r="K188" s="18"/>
      <c r="L188" s="18"/>
      <c r="M188" s="18"/>
      <c r="N188" s="18"/>
      <c r="O188" s="18" t="s">
        <v>163</v>
      </c>
      <c r="P188" s="18" t="s">
        <v>656</v>
      </c>
      <c r="Q188" s="18" t="str">
        <f>IFERROR(MATCH(K188,Niveles!$B$2:$B$10,0),"")</f>
        <v/>
      </c>
    </row>
    <row r="189" spans="1:17" x14ac:dyDescent="0.25">
      <c r="A189" s="18" t="s">
        <v>53</v>
      </c>
      <c r="B189" s="18">
        <v>1907</v>
      </c>
      <c r="C189" s="18" t="s">
        <v>159</v>
      </c>
      <c r="D189" s="18"/>
      <c r="E189" s="18" t="s">
        <v>657</v>
      </c>
      <c r="F189" s="18" t="s">
        <v>161</v>
      </c>
      <c r="G189" s="18"/>
      <c r="H189" s="18">
        <v>21</v>
      </c>
      <c r="I189" s="18" t="s">
        <v>162</v>
      </c>
      <c r="J189" s="18"/>
      <c r="K189" s="18"/>
      <c r="L189" s="18"/>
      <c r="M189" s="18"/>
      <c r="N189" s="18"/>
      <c r="O189" s="18" t="s">
        <v>163</v>
      </c>
      <c r="P189" s="18" t="s">
        <v>658</v>
      </c>
      <c r="Q189" s="18" t="str">
        <f>IFERROR(MATCH(K189,Niveles!$B$2:$B$10,0),"")</f>
        <v/>
      </c>
    </row>
    <row r="190" spans="1:17" x14ac:dyDescent="0.25">
      <c r="A190" s="18" t="s">
        <v>53</v>
      </c>
      <c r="B190" s="18">
        <v>1907</v>
      </c>
      <c r="C190" s="18" t="s">
        <v>159</v>
      </c>
      <c r="D190" s="18"/>
      <c r="E190" s="18" t="s">
        <v>659</v>
      </c>
      <c r="F190" s="18" t="s">
        <v>161</v>
      </c>
      <c r="G190" s="18"/>
      <c r="H190" s="18">
        <v>44</v>
      </c>
      <c r="I190" s="18" t="s">
        <v>162</v>
      </c>
      <c r="J190" s="18"/>
      <c r="K190" s="18"/>
      <c r="L190" s="18"/>
      <c r="M190" s="18"/>
      <c r="N190" s="18"/>
      <c r="O190" s="18" t="s">
        <v>163</v>
      </c>
      <c r="P190" s="18" t="s">
        <v>660</v>
      </c>
      <c r="Q190" s="18" t="str">
        <f>IFERROR(MATCH(K190,Niveles!$B$2:$B$10,0),"")</f>
        <v/>
      </c>
    </row>
    <row r="191" spans="1:17" x14ac:dyDescent="0.25">
      <c r="A191" s="18" t="s">
        <v>53</v>
      </c>
      <c r="B191" s="18">
        <v>1907</v>
      </c>
      <c r="C191" s="18" t="s">
        <v>506</v>
      </c>
      <c r="D191" s="18"/>
      <c r="E191" s="18" t="s">
        <v>661</v>
      </c>
      <c r="F191" s="18" t="s">
        <v>169</v>
      </c>
      <c r="G191" s="18" t="s">
        <v>121</v>
      </c>
      <c r="H191" s="18">
        <v>68</v>
      </c>
      <c r="I191" s="18" t="s">
        <v>238</v>
      </c>
      <c r="J191" s="18" t="s">
        <v>662</v>
      </c>
      <c r="K191" s="18" t="s">
        <v>103</v>
      </c>
      <c r="L191" s="18" t="s">
        <v>663</v>
      </c>
      <c r="M191" s="18" t="s">
        <v>255</v>
      </c>
      <c r="N191" s="18" t="s">
        <v>157</v>
      </c>
      <c r="O191" s="18" t="s">
        <v>163</v>
      </c>
      <c r="P191" s="18" t="s">
        <v>664</v>
      </c>
      <c r="Q191" s="18">
        <f>IFERROR(MATCH(K191,Niveles!$B$2:$B$10,0),"")</f>
        <v>2</v>
      </c>
    </row>
    <row r="192" spans="1:17" x14ac:dyDescent="0.25">
      <c r="A192" s="18" t="s">
        <v>53</v>
      </c>
      <c r="B192" s="18">
        <v>1907</v>
      </c>
      <c r="C192" s="18" t="s">
        <v>502</v>
      </c>
      <c r="D192" s="18"/>
      <c r="E192" s="18" t="s">
        <v>665</v>
      </c>
      <c r="F192" s="18" t="s">
        <v>169</v>
      </c>
      <c r="G192" s="18" t="s">
        <v>666</v>
      </c>
      <c r="H192" s="18">
        <v>99</v>
      </c>
      <c r="I192" s="18" t="s">
        <v>238</v>
      </c>
      <c r="J192" s="18" t="s">
        <v>662</v>
      </c>
      <c r="K192" s="18" t="s">
        <v>103</v>
      </c>
      <c r="L192" s="18" t="s">
        <v>663</v>
      </c>
      <c r="M192" s="18" t="s">
        <v>255</v>
      </c>
      <c r="N192" s="18" t="s">
        <v>157</v>
      </c>
      <c r="O192" s="18" t="s">
        <v>163</v>
      </c>
      <c r="P192" s="18" t="s">
        <v>667</v>
      </c>
      <c r="Q192" s="18">
        <f>IFERROR(MATCH(K192,Niveles!$B$2:$B$10,0),"")</f>
        <v>2</v>
      </c>
    </row>
    <row r="193" spans="1:17" x14ac:dyDescent="0.25">
      <c r="A193" s="18" t="s">
        <v>53</v>
      </c>
      <c r="B193" s="18">
        <v>1907</v>
      </c>
      <c r="C193" s="18" t="s">
        <v>668</v>
      </c>
      <c r="D193" s="18"/>
      <c r="E193" s="18" t="s">
        <v>669</v>
      </c>
      <c r="F193" s="18" t="s">
        <v>169</v>
      </c>
      <c r="G193" s="18" t="s">
        <v>670</v>
      </c>
      <c r="H193" s="18">
        <v>130</v>
      </c>
      <c r="I193" s="18" t="s">
        <v>238</v>
      </c>
      <c r="J193" s="18" t="s">
        <v>662</v>
      </c>
      <c r="K193" s="18" t="s">
        <v>103</v>
      </c>
      <c r="L193" s="18" t="s">
        <v>663</v>
      </c>
      <c r="M193" s="18" t="s">
        <v>255</v>
      </c>
      <c r="N193" s="18" t="s">
        <v>157</v>
      </c>
      <c r="O193" s="18" t="s">
        <v>163</v>
      </c>
      <c r="P193" s="18" t="s">
        <v>671</v>
      </c>
      <c r="Q193" s="18">
        <f>IFERROR(MATCH(K193,Niveles!$B$2:$B$10,0),"")</f>
        <v>2</v>
      </c>
    </row>
    <row r="194" spans="1:17" x14ac:dyDescent="0.25">
      <c r="A194" s="18" t="s">
        <v>53</v>
      </c>
      <c r="B194" s="18">
        <v>1907</v>
      </c>
      <c r="C194" s="18" t="s">
        <v>331</v>
      </c>
      <c r="D194" s="18"/>
      <c r="E194" s="18" t="s">
        <v>672</v>
      </c>
      <c r="F194" s="18" t="s">
        <v>169</v>
      </c>
      <c r="G194" s="18" t="s">
        <v>673</v>
      </c>
      <c r="H194" s="18">
        <v>172</v>
      </c>
      <c r="I194" s="18" t="s">
        <v>238</v>
      </c>
      <c r="J194" s="18" t="s">
        <v>662</v>
      </c>
      <c r="K194" s="18" t="s">
        <v>103</v>
      </c>
      <c r="L194" s="18" t="s">
        <v>663</v>
      </c>
      <c r="M194" s="18" t="s">
        <v>255</v>
      </c>
      <c r="N194" s="18" t="s">
        <v>157</v>
      </c>
      <c r="O194" s="18" t="s">
        <v>163</v>
      </c>
      <c r="P194" s="18" t="s">
        <v>674</v>
      </c>
      <c r="Q194" s="18">
        <f>IFERROR(MATCH(K194,Niveles!$B$2:$B$10,0),"")</f>
        <v>2</v>
      </c>
    </row>
    <row r="195" spans="1:17" x14ac:dyDescent="0.25">
      <c r="A195" s="18" t="s">
        <v>53</v>
      </c>
      <c r="B195" s="18">
        <v>1907</v>
      </c>
      <c r="C195" s="18" t="s">
        <v>277</v>
      </c>
      <c r="D195" s="18"/>
      <c r="E195" s="18" t="s">
        <v>675</v>
      </c>
      <c r="F195" s="18" t="s">
        <v>169</v>
      </c>
      <c r="G195" s="18" t="s">
        <v>261</v>
      </c>
      <c r="H195" s="18">
        <v>229</v>
      </c>
      <c r="I195" s="18" t="s">
        <v>238</v>
      </c>
      <c r="J195" s="18" t="s">
        <v>662</v>
      </c>
      <c r="K195" s="18" t="s">
        <v>103</v>
      </c>
      <c r="L195" s="18" t="s">
        <v>663</v>
      </c>
      <c r="M195" s="18" t="s">
        <v>255</v>
      </c>
      <c r="N195" s="18" t="s">
        <v>157</v>
      </c>
      <c r="O195" s="18" t="s">
        <v>163</v>
      </c>
      <c r="P195" s="18" t="s">
        <v>676</v>
      </c>
      <c r="Q195" s="18">
        <f>IFERROR(MATCH(K195,Niveles!$B$2:$B$10,0),"")</f>
        <v>2</v>
      </c>
    </row>
    <row r="196" spans="1:17" x14ac:dyDescent="0.25">
      <c r="A196" s="18" t="s">
        <v>53</v>
      </c>
      <c r="B196" s="18">
        <v>1907</v>
      </c>
      <c r="C196" s="18" t="s">
        <v>274</v>
      </c>
      <c r="D196" s="18"/>
      <c r="E196" s="18" t="s">
        <v>677</v>
      </c>
      <c r="F196" s="18" t="s">
        <v>169</v>
      </c>
      <c r="G196" s="18" t="s">
        <v>678</v>
      </c>
      <c r="H196" s="18">
        <v>309</v>
      </c>
      <c r="I196" s="18" t="s">
        <v>238</v>
      </c>
      <c r="J196" s="18" t="s">
        <v>662</v>
      </c>
      <c r="K196" s="18" t="s">
        <v>103</v>
      </c>
      <c r="L196" s="18" t="s">
        <v>663</v>
      </c>
      <c r="M196" s="18" t="s">
        <v>255</v>
      </c>
      <c r="N196" s="18" t="s">
        <v>157</v>
      </c>
      <c r="O196" s="18" t="s">
        <v>163</v>
      </c>
      <c r="P196" s="18" t="s">
        <v>679</v>
      </c>
      <c r="Q196" s="18">
        <f>IFERROR(MATCH(K196,Niveles!$B$2:$B$10,0),"")</f>
        <v>2</v>
      </c>
    </row>
    <row r="197" spans="1:17" x14ac:dyDescent="0.25">
      <c r="A197" s="18" t="s">
        <v>53</v>
      </c>
      <c r="B197" s="18">
        <v>1907</v>
      </c>
      <c r="C197" s="18" t="s">
        <v>205</v>
      </c>
      <c r="D197" s="18"/>
      <c r="E197" s="18" t="s">
        <v>680</v>
      </c>
      <c r="F197" s="18" t="s">
        <v>169</v>
      </c>
      <c r="G197" s="18" t="s">
        <v>681</v>
      </c>
      <c r="H197" s="18">
        <v>380</v>
      </c>
      <c r="I197" s="18" t="s">
        <v>238</v>
      </c>
      <c r="J197" s="18" t="s">
        <v>662</v>
      </c>
      <c r="K197" s="18" t="s">
        <v>103</v>
      </c>
      <c r="L197" s="18" t="s">
        <v>663</v>
      </c>
      <c r="M197" s="18" t="s">
        <v>255</v>
      </c>
      <c r="N197" s="18" t="s">
        <v>157</v>
      </c>
      <c r="O197" s="18" t="s">
        <v>163</v>
      </c>
      <c r="P197" s="18" t="s">
        <v>682</v>
      </c>
      <c r="Q197" s="18">
        <f>IFERROR(MATCH(K197,Niveles!$B$2:$B$10,0),"")</f>
        <v>2</v>
      </c>
    </row>
    <row r="198" spans="1:17" x14ac:dyDescent="0.25">
      <c r="A198" s="18" t="s">
        <v>53</v>
      </c>
      <c r="B198" s="18">
        <v>1907</v>
      </c>
      <c r="C198" s="18" t="s">
        <v>271</v>
      </c>
      <c r="D198" s="18"/>
      <c r="E198" s="18" t="s">
        <v>683</v>
      </c>
      <c r="F198" s="18" t="s">
        <v>169</v>
      </c>
      <c r="G198" s="18" t="s">
        <v>684</v>
      </c>
      <c r="H198" s="18">
        <v>445</v>
      </c>
      <c r="I198" s="18" t="s">
        <v>238</v>
      </c>
      <c r="J198" s="18" t="s">
        <v>662</v>
      </c>
      <c r="K198" s="18" t="s">
        <v>103</v>
      </c>
      <c r="L198" s="18" t="s">
        <v>663</v>
      </c>
      <c r="M198" s="18" t="s">
        <v>255</v>
      </c>
      <c r="N198" s="18" t="s">
        <v>157</v>
      </c>
      <c r="O198" s="18" t="s">
        <v>163</v>
      </c>
      <c r="P198" s="18" t="s">
        <v>685</v>
      </c>
      <c r="Q198" s="18">
        <f>IFERROR(MATCH(K198,Niveles!$B$2:$B$10,0),"")</f>
        <v>2</v>
      </c>
    </row>
    <row r="199" spans="1:17" x14ac:dyDescent="0.25">
      <c r="A199" s="18" t="s">
        <v>53</v>
      </c>
      <c r="B199" s="18">
        <v>1907</v>
      </c>
      <c r="C199" s="18" t="s">
        <v>484</v>
      </c>
      <c r="D199" s="18"/>
      <c r="E199" s="18" t="s">
        <v>686</v>
      </c>
      <c r="F199" s="18" t="s">
        <v>169</v>
      </c>
      <c r="G199" s="18" t="s">
        <v>687</v>
      </c>
      <c r="H199" s="18">
        <v>514</v>
      </c>
      <c r="I199" s="18" t="s">
        <v>238</v>
      </c>
      <c r="J199" s="18" t="s">
        <v>662</v>
      </c>
      <c r="K199" s="18" t="s">
        <v>103</v>
      </c>
      <c r="L199" s="18" t="s">
        <v>663</v>
      </c>
      <c r="M199" s="18" t="s">
        <v>255</v>
      </c>
      <c r="N199" s="18" t="s">
        <v>157</v>
      </c>
      <c r="O199" s="18" t="s">
        <v>163</v>
      </c>
      <c r="P199" s="18" t="s">
        <v>688</v>
      </c>
      <c r="Q199" s="18">
        <f>IFERROR(MATCH(K199,Niveles!$B$2:$B$10,0),"")</f>
        <v>2</v>
      </c>
    </row>
    <row r="200" spans="1:17" x14ac:dyDescent="0.25">
      <c r="A200" s="18" t="s">
        <v>53</v>
      </c>
      <c r="B200" s="18">
        <v>1907</v>
      </c>
      <c r="C200" s="18" t="s">
        <v>217</v>
      </c>
      <c r="D200" s="18"/>
      <c r="E200" s="18" t="s">
        <v>689</v>
      </c>
      <c r="F200" s="18" t="s">
        <v>169</v>
      </c>
      <c r="G200" s="18" t="s">
        <v>690</v>
      </c>
      <c r="H200" s="18">
        <v>556</v>
      </c>
      <c r="I200" s="18" t="s">
        <v>238</v>
      </c>
      <c r="J200" s="18" t="s">
        <v>662</v>
      </c>
      <c r="K200" s="18" t="s">
        <v>103</v>
      </c>
      <c r="L200" s="18" t="s">
        <v>663</v>
      </c>
      <c r="M200" s="18" t="s">
        <v>255</v>
      </c>
      <c r="N200" s="18" t="s">
        <v>157</v>
      </c>
      <c r="O200" s="18" t="s">
        <v>163</v>
      </c>
      <c r="P200" s="18" t="s">
        <v>691</v>
      </c>
      <c r="Q200" s="18">
        <f>IFERROR(MATCH(K200,Niveles!$B$2:$B$10,0),"")</f>
        <v>2</v>
      </c>
    </row>
    <row r="201" spans="1:17" x14ac:dyDescent="0.25">
      <c r="A201" s="18" t="s">
        <v>53</v>
      </c>
      <c r="B201" s="18">
        <v>1907</v>
      </c>
      <c r="C201" s="18" t="s">
        <v>221</v>
      </c>
      <c r="D201" s="18"/>
      <c r="E201" s="18" t="s">
        <v>692</v>
      </c>
      <c r="F201" s="18" t="s">
        <v>169</v>
      </c>
      <c r="G201" s="18" t="s">
        <v>693</v>
      </c>
      <c r="H201" s="18">
        <v>598</v>
      </c>
      <c r="I201" s="18" t="s">
        <v>238</v>
      </c>
      <c r="J201" s="18" t="s">
        <v>662</v>
      </c>
      <c r="K201" s="18" t="s">
        <v>103</v>
      </c>
      <c r="L201" s="18" t="s">
        <v>663</v>
      </c>
      <c r="M201" s="18" t="s">
        <v>255</v>
      </c>
      <c r="N201" s="18" t="s">
        <v>157</v>
      </c>
      <c r="O201" s="18" t="s">
        <v>163</v>
      </c>
      <c r="P201" s="18" t="s">
        <v>694</v>
      </c>
      <c r="Q201" s="18">
        <f>IFERROR(MATCH(K201,Niveles!$B$2:$B$10,0),"")</f>
        <v>2</v>
      </c>
    </row>
    <row r="202" spans="1:17" x14ac:dyDescent="0.25">
      <c r="A202" s="18" t="s">
        <v>53</v>
      </c>
      <c r="B202" s="18">
        <v>1907</v>
      </c>
      <c r="C202" s="18" t="s">
        <v>266</v>
      </c>
      <c r="D202" s="18"/>
      <c r="E202" s="18" t="s">
        <v>695</v>
      </c>
      <c r="F202" s="18" t="s">
        <v>169</v>
      </c>
      <c r="G202" s="18" t="s">
        <v>696</v>
      </c>
      <c r="H202" s="18">
        <v>641</v>
      </c>
      <c r="I202" s="18" t="s">
        <v>238</v>
      </c>
      <c r="J202" s="18" t="s">
        <v>662</v>
      </c>
      <c r="K202" s="18" t="s">
        <v>103</v>
      </c>
      <c r="L202" s="18" t="s">
        <v>663</v>
      </c>
      <c r="M202" s="18" t="s">
        <v>255</v>
      </c>
      <c r="N202" s="18" t="s">
        <v>157</v>
      </c>
      <c r="O202" s="18" t="s">
        <v>163</v>
      </c>
      <c r="P202" s="18" t="s">
        <v>697</v>
      </c>
      <c r="Q202" s="18">
        <f>IFERROR(MATCH(K202,Niveles!$B$2:$B$10,0),"")</f>
        <v>2</v>
      </c>
    </row>
    <row r="203" spans="1:17" x14ac:dyDescent="0.25">
      <c r="A203" s="18" t="s">
        <v>53</v>
      </c>
      <c r="B203" s="18">
        <v>1907</v>
      </c>
      <c r="C203" s="18" t="s">
        <v>404</v>
      </c>
      <c r="D203" s="18"/>
      <c r="E203" s="18" t="s">
        <v>698</v>
      </c>
      <c r="F203" s="18" t="s">
        <v>169</v>
      </c>
      <c r="G203" s="18" t="s">
        <v>699</v>
      </c>
      <c r="H203" s="18">
        <v>686</v>
      </c>
      <c r="I203" s="18" t="s">
        <v>238</v>
      </c>
      <c r="J203" s="18" t="s">
        <v>662</v>
      </c>
      <c r="K203" s="18" t="s">
        <v>103</v>
      </c>
      <c r="L203" s="18" t="s">
        <v>663</v>
      </c>
      <c r="M203" s="18" t="s">
        <v>255</v>
      </c>
      <c r="N203" s="18" t="s">
        <v>157</v>
      </c>
      <c r="O203" s="18" t="s">
        <v>163</v>
      </c>
      <c r="P203" s="18" t="s">
        <v>700</v>
      </c>
      <c r="Q203" s="18">
        <f>IFERROR(MATCH(K203,Niveles!$B$2:$B$10,0),"")</f>
        <v>2</v>
      </c>
    </row>
    <row r="204" spans="1:17" x14ac:dyDescent="0.25">
      <c r="A204" s="18" t="s">
        <v>53</v>
      </c>
      <c r="B204" s="18">
        <v>1907</v>
      </c>
      <c r="C204" s="18" t="s">
        <v>263</v>
      </c>
      <c r="D204" s="18"/>
      <c r="E204" s="18" t="s">
        <v>701</v>
      </c>
      <c r="F204" s="18" t="s">
        <v>169</v>
      </c>
      <c r="G204" s="18" t="s">
        <v>702</v>
      </c>
      <c r="H204" s="18">
        <v>730</v>
      </c>
      <c r="I204" s="18" t="s">
        <v>238</v>
      </c>
      <c r="J204" s="18" t="s">
        <v>662</v>
      </c>
      <c r="K204" s="18" t="s">
        <v>103</v>
      </c>
      <c r="L204" s="18" t="s">
        <v>663</v>
      </c>
      <c r="M204" s="18" t="s">
        <v>255</v>
      </c>
      <c r="N204" s="18" t="s">
        <v>157</v>
      </c>
      <c r="O204" s="18" t="s">
        <v>163</v>
      </c>
      <c r="P204" s="18" t="s">
        <v>703</v>
      </c>
      <c r="Q204" s="18">
        <f>IFERROR(MATCH(K204,Niveles!$B$2:$B$10,0),"")</f>
        <v>2</v>
      </c>
    </row>
    <row r="205" spans="1:17" x14ac:dyDescent="0.25">
      <c r="A205" s="18" t="s">
        <v>53</v>
      </c>
      <c r="B205" s="18">
        <v>1907</v>
      </c>
      <c r="C205" s="18" t="s">
        <v>306</v>
      </c>
      <c r="D205" s="18"/>
      <c r="E205" s="18" t="s">
        <v>704</v>
      </c>
      <c r="F205" s="18" t="s">
        <v>169</v>
      </c>
      <c r="G205" s="18" t="s">
        <v>705</v>
      </c>
      <c r="H205" s="18">
        <v>784</v>
      </c>
      <c r="I205" s="18" t="s">
        <v>238</v>
      </c>
      <c r="J205" s="18" t="s">
        <v>662</v>
      </c>
      <c r="K205" s="18" t="s">
        <v>103</v>
      </c>
      <c r="L205" s="18" t="s">
        <v>663</v>
      </c>
      <c r="M205" s="18" t="s">
        <v>255</v>
      </c>
      <c r="N205" s="18" t="s">
        <v>157</v>
      </c>
      <c r="O205" s="18" t="s">
        <v>163</v>
      </c>
      <c r="P205" s="18" t="s">
        <v>706</v>
      </c>
      <c r="Q205" s="18">
        <f>IFERROR(MATCH(K205,Niveles!$B$2:$B$10,0),"")</f>
        <v>2</v>
      </c>
    </row>
    <row r="206" spans="1:17" x14ac:dyDescent="0.25">
      <c r="A206" s="18" t="s">
        <v>53</v>
      </c>
      <c r="B206" s="18">
        <v>1907</v>
      </c>
      <c r="C206" s="18" t="s">
        <v>229</v>
      </c>
      <c r="D206" s="18"/>
      <c r="E206" s="18" t="s">
        <v>707</v>
      </c>
      <c r="F206" s="18" t="s">
        <v>169</v>
      </c>
      <c r="G206" s="18" t="s">
        <v>708</v>
      </c>
      <c r="H206" s="18">
        <v>839</v>
      </c>
      <c r="I206" s="18" t="s">
        <v>238</v>
      </c>
      <c r="J206" s="18" t="s">
        <v>662</v>
      </c>
      <c r="K206" s="18" t="s">
        <v>103</v>
      </c>
      <c r="L206" s="18" t="s">
        <v>663</v>
      </c>
      <c r="M206" s="18" t="s">
        <v>255</v>
      </c>
      <c r="N206" s="18" t="s">
        <v>157</v>
      </c>
      <c r="O206" s="18" t="s">
        <v>163</v>
      </c>
      <c r="P206" s="18" t="s">
        <v>709</v>
      </c>
      <c r="Q206" s="18">
        <f>IFERROR(MATCH(K206,Niveles!$B$2:$B$10,0),"")</f>
        <v>2</v>
      </c>
    </row>
    <row r="207" spans="1:17" x14ac:dyDescent="0.25">
      <c r="A207" s="18" t="s">
        <v>53</v>
      </c>
      <c r="B207" s="18">
        <v>1907</v>
      </c>
      <c r="C207" s="18" t="s">
        <v>299</v>
      </c>
      <c r="D207" s="18"/>
      <c r="E207" s="18" t="s">
        <v>710</v>
      </c>
      <c r="F207" s="18" t="s">
        <v>169</v>
      </c>
      <c r="G207" s="18" t="s">
        <v>711</v>
      </c>
      <c r="H207" s="18">
        <v>910</v>
      </c>
      <c r="I207" s="18" t="s">
        <v>238</v>
      </c>
      <c r="J207" s="18" t="s">
        <v>662</v>
      </c>
      <c r="K207" s="18" t="s">
        <v>103</v>
      </c>
      <c r="L207" s="18" t="s">
        <v>663</v>
      </c>
      <c r="M207" s="18" t="s">
        <v>255</v>
      </c>
      <c r="N207" s="18" t="s">
        <v>157</v>
      </c>
      <c r="O207" s="18" t="s">
        <v>163</v>
      </c>
      <c r="P207" s="18" t="s">
        <v>712</v>
      </c>
      <c r="Q207" s="18">
        <f>IFERROR(MATCH(K207,Niveles!$B$2:$B$10,0),"")</f>
        <v>2</v>
      </c>
    </row>
    <row r="208" spans="1:17" x14ac:dyDescent="0.25">
      <c r="A208" s="18" t="s">
        <v>53</v>
      </c>
      <c r="B208" s="18">
        <v>1907</v>
      </c>
      <c r="C208" s="18" t="s">
        <v>395</v>
      </c>
      <c r="D208" s="18"/>
      <c r="E208" s="18" t="s">
        <v>713</v>
      </c>
      <c r="F208" s="18" t="s">
        <v>169</v>
      </c>
      <c r="G208" s="18" t="s">
        <v>714</v>
      </c>
      <c r="H208" s="18">
        <v>952</v>
      </c>
      <c r="I208" s="18" t="s">
        <v>238</v>
      </c>
      <c r="J208" s="18" t="s">
        <v>662</v>
      </c>
      <c r="K208" s="18" t="s">
        <v>103</v>
      </c>
      <c r="L208" s="18" t="s">
        <v>663</v>
      </c>
      <c r="M208" s="18" t="s">
        <v>255</v>
      </c>
      <c r="N208" s="18" t="s">
        <v>157</v>
      </c>
      <c r="O208" s="18" t="s">
        <v>163</v>
      </c>
      <c r="P208" s="18" t="s">
        <v>715</v>
      </c>
      <c r="Q208" s="18">
        <f>IFERROR(MATCH(K208,Niveles!$B$2:$B$10,0),"")</f>
        <v>2</v>
      </c>
    </row>
    <row r="209" spans="1:17" x14ac:dyDescent="0.25">
      <c r="A209" s="18" t="s">
        <v>53</v>
      </c>
      <c r="B209" s="18">
        <v>1907</v>
      </c>
      <c r="C209" s="18" t="s">
        <v>716</v>
      </c>
      <c r="D209" s="18"/>
      <c r="E209" s="18" t="s">
        <v>717</v>
      </c>
      <c r="F209" s="18" t="s">
        <v>169</v>
      </c>
      <c r="G209" s="18" t="s">
        <v>718</v>
      </c>
      <c r="H209" s="18">
        <v>999</v>
      </c>
      <c r="I209" s="18" t="s">
        <v>238</v>
      </c>
      <c r="J209" s="18" t="s">
        <v>662</v>
      </c>
      <c r="K209" s="18" t="s">
        <v>103</v>
      </c>
      <c r="L209" s="18" t="s">
        <v>663</v>
      </c>
      <c r="M209" s="18" t="s">
        <v>255</v>
      </c>
      <c r="N209" s="18" t="s">
        <v>157</v>
      </c>
      <c r="O209" s="18" t="s">
        <v>163</v>
      </c>
      <c r="P209" s="18" t="s">
        <v>719</v>
      </c>
      <c r="Q209" s="18">
        <f>IFERROR(MATCH(K209,Niveles!$B$2:$B$10,0),"")</f>
        <v>2</v>
      </c>
    </row>
    <row r="210" spans="1:17" x14ac:dyDescent="0.25">
      <c r="A210" s="18" t="s">
        <v>53</v>
      </c>
      <c r="B210" s="18">
        <v>1907</v>
      </c>
      <c r="C210" s="18" t="s">
        <v>720</v>
      </c>
      <c r="D210" s="18"/>
      <c r="E210" s="18" t="s">
        <v>721</v>
      </c>
      <c r="F210" s="18" t="s">
        <v>169</v>
      </c>
      <c r="G210" s="18" t="s">
        <v>722</v>
      </c>
      <c r="H210" s="18">
        <v>1048</v>
      </c>
      <c r="I210" s="18" t="s">
        <v>238</v>
      </c>
      <c r="J210" s="18" t="s">
        <v>662</v>
      </c>
      <c r="K210" s="18" t="s">
        <v>103</v>
      </c>
      <c r="L210" s="18" t="s">
        <v>663</v>
      </c>
      <c r="M210" s="18" t="s">
        <v>255</v>
      </c>
      <c r="N210" s="18" t="s">
        <v>157</v>
      </c>
      <c r="O210" s="18" t="s">
        <v>163</v>
      </c>
      <c r="P210" s="18" t="s">
        <v>723</v>
      </c>
      <c r="Q210" s="18">
        <f>IFERROR(MATCH(K210,Niveles!$B$2:$B$10,0),"")</f>
        <v>2</v>
      </c>
    </row>
    <row r="211" spans="1:17" x14ac:dyDescent="0.25">
      <c r="A211" s="18" t="s">
        <v>53</v>
      </c>
      <c r="B211" s="18">
        <v>1907</v>
      </c>
      <c r="C211" s="18" t="s">
        <v>258</v>
      </c>
      <c r="D211" s="18"/>
      <c r="E211" s="18" t="s">
        <v>724</v>
      </c>
      <c r="F211" s="18" t="s">
        <v>169</v>
      </c>
      <c r="G211" s="18" t="s">
        <v>725</v>
      </c>
      <c r="H211" s="18">
        <v>1085</v>
      </c>
      <c r="I211" s="18" t="s">
        <v>238</v>
      </c>
      <c r="J211" s="18" t="s">
        <v>662</v>
      </c>
      <c r="K211" s="18" t="s">
        <v>103</v>
      </c>
      <c r="L211" s="18" t="s">
        <v>663</v>
      </c>
      <c r="M211" s="18" t="s">
        <v>255</v>
      </c>
      <c r="N211" s="18" t="s">
        <v>157</v>
      </c>
      <c r="O211" s="18" t="s">
        <v>163</v>
      </c>
      <c r="P211" s="18" t="s">
        <v>726</v>
      </c>
      <c r="Q211" s="18">
        <f>IFERROR(MATCH(K211,Niveles!$B$2:$B$10,0),"")</f>
        <v>2</v>
      </c>
    </row>
    <row r="212" spans="1:17" x14ac:dyDescent="0.25">
      <c r="A212" s="18" t="s">
        <v>53</v>
      </c>
      <c r="B212" s="18">
        <v>1907</v>
      </c>
      <c r="C212" s="18" t="s">
        <v>292</v>
      </c>
      <c r="D212" s="18"/>
      <c r="E212" s="18" t="s">
        <v>727</v>
      </c>
      <c r="F212" s="18" t="s">
        <v>169</v>
      </c>
      <c r="G212" s="18" t="s">
        <v>728</v>
      </c>
      <c r="H212" s="18">
        <v>1121</v>
      </c>
      <c r="I212" s="18" t="s">
        <v>238</v>
      </c>
      <c r="J212" s="18" t="s">
        <v>662</v>
      </c>
      <c r="K212" s="18" t="s">
        <v>103</v>
      </c>
      <c r="L212" s="18" t="s">
        <v>663</v>
      </c>
      <c r="M212" s="18" t="s">
        <v>255</v>
      </c>
      <c r="N212" s="18" t="s">
        <v>157</v>
      </c>
      <c r="O212" s="18" t="s">
        <v>163</v>
      </c>
      <c r="P212" s="18" t="s">
        <v>729</v>
      </c>
      <c r="Q212" s="18">
        <f>IFERROR(MATCH(K212,Niveles!$B$2:$B$10,0),"")</f>
        <v>2</v>
      </c>
    </row>
    <row r="213" spans="1:17" x14ac:dyDescent="0.25">
      <c r="A213" s="18" t="s">
        <v>53</v>
      </c>
      <c r="B213" s="18">
        <v>1907</v>
      </c>
      <c r="C213" s="18" t="s">
        <v>251</v>
      </c>
      <c r="D213" s="18"/>
      <c r="E213" s="18" t="s">
        <v>730</v>
      </c>
      <c r="F213" s="18" t="s">
        <v>169</v>
      </c>
      <c r="G213" s="18" t="s">
        <v>731</v>
      </c>
      <c r="H213" s="18">
        <v>1164</v>
      </c>
      <c r="I213" s="18" t="s">
        <v>238</v>
      </c>
      <c r="J213" s="18" t="s">
        <v>662</v>
      </c>
      <c r="K213" s="18" t="s">
        <v>103</v>
      </c>
      <c r="L213" s="18" t="s">
        <v>663</v>
      </c>
      <c r="M213" s="18" t="s">
        <v>255</v>
      </c>
      <c r="N213" s="18" t="s">
        <v>157</v>
      </c>
      <c r="O213" s="18" t="s">
        <v>163</v>
      </c>
      <c r="P213" s="18" t="s">
        <v>732</v>
      </c>
      <c r="Q213" s="18">
        <f>IFERROR(MATCH(K213,Niveles!$B$2:$B$10,0),"")</f>
        <v>2</v>
      </c>
    </row>
    <row r="214" spans="1:17" x14ac:dyDescent="0.25">
      <c r="A214" s="18" t="s">
        <v>53</v>
      </c>
      <c r="B214" s="18">
        <v>1907</v>
      </c>
      <c r="C214" s="18" t="s">
        <v>456</v>
      </c>
      <c r="D214" s="18"/>
      <c r="E214" s="18" t="s">
        <v>733</v>
      </c>
      <c r="F214" s="18" t="s">
        <v>169</v>
      </c>
      <c r="G214" s="18" t="s">
        <v>734</v>
      </c>
      <c r="H214" s="18">
        <v>1206</v>
      </c>
      <c r="I214" s="18" t="s">
        <v>238</v>
      </c>
      <c r="J214" s="18" t="s">
        <v>662</v>
      </c>
      <c r="K214" s="18" t="s">
        <v>103</v>
      </c>
      <c r="L214" s="18" t="s">
        <v>663</v>
      </c>
      <c r="M214" s="18" t="s">
        <v>255</v>
      </c>
      <c r="N214" s="18" t="s">
        <v>157</v>
      </c>
      <c r="O214" s="18" t="s">
        <v>163</v>
      </c>
      <c r="P214" s="18" t="s">
        <v>735</v>
      </c>
      <c r="Q214" s="18">
        <f>IFERROR(MATCH(K214,Niveles!$B$2:$B$10,0),"")</f>
        <v>2</v>
      </c>
    </row>
    <row r="215" spans="1:17" x14ac:dyDescent="0.25">
      <c r="A215" s="18" t="s">
        <v>53</v>
      </c>
      <c r="B215" s="18">
        <v>1907</v>
      </c>
      <c r="C215" s="18" t="s">
        <v>736</v>
      </c>
      <c r="D215" s="18" t="s">
        <v>112</v>
      </c>
      <c r="E215" s="18" t="s">
        <v>737</v>
      </c>
      <c r="F215" s="18" t="s">
        <v>145</v>
      </c>
      <c r="G215" s="18" t="s">
        <v>738</v>
      </c>
      <c r="H215" s="18">
        <v>91</v>
      </c>
      <c r="I215" s="18" t="s">
        <v>162</v>
      </c>
      <c r="J215" s="18" t="s">
        <v>662</v>
      </c>
      <c r="K215" s="18" t="s">
        <v>105</v>
      </c>
      <c r="L215" s="18" t="s">
        <v>663</v>
      </c>
      <c r="M215" s="18" t="s">
        <v>255</v>
      </c>
      <c r="N215" s="18" t="s">
        <v>162</v>
      </c>
      <c r="O215" s="18" t="s">
        <v>175</v>
      </c>
      <c r="P215" s="18" t="s">
        <v>739</v>
      </c>
      <c r="Q215" s="18">
        <f>IFERROR(MATCH(K215,Niveles!$B$2:$B$10,0),"")</f>
        <v>6</v>
      </c>
    </row>
    <row r="216" spans="1:17" x14ac:dyDescent="0.25">
      <c r="A216" s="18" t="s">
        <v>53</v>
      </c>
      <c r="B216" s="18">
        <v>1907</v>
      </c>
      <c r="C216" s="18" t="s">
        <v>736</v>
      </c>
      <c r="D216" s="18" t="s">
        <v>118</v>
      </c>
      <c r="E216" s="18" t="s">
        <v>740</v>
      </c>
      <c r="F216" s="18" t="s">
        <v>145</v>
      </c>
      <c r="G216" s="18" t="s">
        <v>383</v>
      </c>
      <c r="H216" s="18">
        <v>78</v>
      </c>
      <c r="I216" s="18" t="s">
        <v>162</v>
      </c>
      <c r="J216" s="18" t="s">
        <v>662</v>
      </c>
      <c r="K216" s="18" t="s">
        <v>105</v>
      </c>
      <c r="L216" s="18" t="s">
        <v>171</v>
      </c>
      <c r="M216" s="18" t="s">
        <v>255</v>
      </c>
      <c r="N216" s="18" t="s">
        <v>162</v>
      </c>
      <c r="O216" s="18" t="s">
        <v>175</v>
      </c>
      <c r="P216" s="18" t="s">
        <v>741</v>
      </c>
      <c r="Q216" s="18">
        <f>IFERROR(MATCH(K216,Niveles!$B$2:$B$10,0),"")</f>
        <v>6</v>
      </c>
    </row>
    <row r="217" spans="1:17" x14ac:dyDescent="0.25">
      <c r="A217" s="18" t="s">
        <v>53</v>
      </c>
      <c r="B217" s="18">
        <v>1907</v>
      </c>
      <c r="C217" s="18" t="s">
        <v>742</v>
      </c>
      <c r="D217" s="18"/>
      <c r="E217" s="18" t="s">
        <v>743</v>
      </c>
      <c r="F217" s="18" t="s">
        <v>169</v>
      </c>
      <c r="G217" s="18" t="s">
        <v>744</v>
      </c>
      <c r="H217" s="18">
        <v>1221</v>
      </c>
      <c r="I217" s="18" t="s">
        <v>238</v>
      </c>
      <c r="J217" s="18"/>
      <c r="K217" s="18"/>
      <c r="L217" s="18"/>
      <c r="M217" s="18"/>
      <c r="N217" s="18"/>
      <c r="O217" s="18" t="s">
        <v>163</v>
      </c>
      <c r="P217" s="18" t="s">
        <v>745</v>
      </c>
      <c r="Q217" s="18" t="str">
        <f>IFERROR(MATCH(K217,Niveles!$B$2:$B$10,0),"")</f>
        <v/>
      </c>
    </row>
    <row r="218" spans="1:17" x14ac:dyDescent="0.25">
      <c r="A218" s="18" t="s">
        <v>53</v>
      </c>
      <c r="B218" s="18">
        <v>1907</v>
      </c>
      <c r="C218" s="18" t="s">
        <v>746</v>
      </c>
      <c r="D218" s="18"/>
      <c r="E218" s="18" t="s">
        <v>747</v>
      </c>
      <c r="F218" s="18" t="s">
        <v>145</v>
      </c>
      <c r="G218" s="18" t="s">
        <v>748</v>
      </c>
      <c r="H218" s="18">
        <v>1267</v>
      </c>
      <c r="I218" s="18" t="s">
        <v>238</v>
      </c>
      <c r="J218" s="18"/>
      <c r="K218" s="18"/>
      <c r="L218" s="18"/>
      <c r="M218" s="18"/>
      <c r="N218" s="18"/>
      <c r="O218" s="18" t="s">
        <v>163</v>
      </c>
      <c r="P218" s="18" t="s">
        <v>749</v>
      </c>
      <c r="Q218" s="18" t="str">
        <f>IFERROR(MATCH(K218,Niveles!$B$2:$B$10,0),"")</f>
        <v/>
      </c>
    </row>
    <row r="219" spans="1:17" x14ac:dyDescent="0.25">
      <c r="A219" s="18" t="s">
        <v>53</v>
      </c>
      <c r="B219" s="18">
        <v>1907</v>
      </c>
      <c r="C219" s="18"/>
      <c r="D219" s="18"/>
      <c r="E219" s="18" t="s">
        <v>750</v>
      </c>
      <c r="F219" s="18" t="s">
        <v>161</v>
      </c>
      <c r="G219" s="18" t="s">
        <v>751</v>
      </c>
      <c r="H219" s="18">
        <v>1273</v>
      </c>
      <c r="I219" s="18" t="s">
        <v>238</v>
      </c>
      <c r="J219" s="18"/>
      <c r="K219" s="18"/>
      <c r="L219" s="18"/>
      <c r="M219" s="18"/>
      <c r="N219" s="18"/>
      <c r="O219" s="18" t="s">
        <v>163</v>
      </c>
      <c r="P219" s="18"/>
      <c r="Q219" s="18" t="str">
        <f>IFERROR(MATCH(K219,Niveles!$B$2:$B$10,0),"")</f>
        <v/>
      </c>
    </row>
    <row r="220" spans="1:17" x14ac:dyDescent="0.25">
      <c r="A220" s="18" t="s">
        <v>53</v>
      </c>
      <c r="B220" s="18">
        <v>1907</v>
      </c>
      <c r="C220" s="18" t="s">
        <v>743</v>
      </c>
      <c r="D220" s="18"/>
      <c r="E220" s="18" t="s">
        <v>752</v>
      </c>
      <c r="F220" s="18" t="s">
        <v>145</v>
      </c>
      <c r="G220" s="18" t="s">
        <v>753</v>
      </c>
      <c r="H220" s="18">
        <v>1222</v>
      </c>
      <c r="I220" s="18" t="s">
        <v>162</v>
      </c>
      <c r="J220" s="18" t="s">
        <v>754</v>
      </c>
      <c r="K220" s="18" t="s">
        <v>106</v>
      </c>
      <c r="L220" s="18"/>
      <c r="M220" s="18" t="s">
        <v>255</v>
      </c>
      <c r="N220" s="18" t="s">
        <v>162</v>
      </c>
      <c r="O220" s="18" t="s">
        <v>163</v>
      </c>
      <c r="P220" s="18" t="s">
        <v>755</v>
      </c>
      <c r="Q220" s="18">
        <f>IFERROR(MATCH(K220,Niveles!$B$2:$B$10,0),"")</f>
        <v>7</v>
      </c>
    </row>
    <row r="221" spans="1:17" x14ac:dyDescent="0.25">
      <c r="A221" s="18" t="s">
        <v>53</v>
      </c>
      <c r="B221" s="18">
        <v>1907</v>
      </c>
      <c r="C221" s="18" t="s">
        <v>743</v>
      </c>
      <c r="D221" s="18"/>
      <c r="E221" s="18" t="s">
        <v>756</v>
      </c>
      <c r="F221" s="18" t="s">
        <v>145</v>
      </c>
      <c r="G221" s="18" t="s">
        <v>753</v>
      </c>
      <c r="H221" s="18">
        <v>1222</v>
      </c>
      <c r="I221" s="18" t="s">
        <v>162</v>
      </c>
      <c r="J221" s="18" t="s">
        <v>754</v>
      </c>
      <c r="K221" s="18" t="s">
        <v>105</v>
      </c>
      <c r="L221" s="18"/>
      <c r="M221" s="18" t="s">
        <v>255</v>
      </c>
      <c r="N221" s="18" t="s">
        <v>162</v>
      </c>
      <c r="O221" s="18" t="s">
        <v>163</v>
      </c>
      <c r="P221" s="18" t="s">
        <v>755</v>
      </c>
      <c r="Q221" s="18">
        <f>IFERROR(MATCH(K221,Niveles!$B$2:$B$10,0),"")</f>
        <v>6</v>
      </c>
    </row>
    <row r="222" spans="1:17" x14ac:dyDescent="0.25">
      <c r="A222" s="18" t="s">
        <v>56</v>
      </c>
      <c r="B222" s="18">
        <v>1920</v>
      </c>
      <c r="C222" s="18" t="s">
        <v>757</v>
      </c>
      <c r="D222" s="18"/>
      <c r="E222" s="18" t="s">
        <v>758</v>
      </c>
      <c r="F222" s="18" t="s">
        <v>161</v>
      </c>
      <c r="G222" s="18"/>
      <c r="H222" s="18">
        <v>2</v>
      </c>
      <c r="I222" s="18" t="s">
        <v>162</v>
      </c>
      <c r="J222" s="18"/>
      <c r="K222" s="18"/>
      <c r="L222" s="18"/>
      <c r="M222" s="18"/>
      <c r="N222" s="18"/>
      <c r="O222" s="18" t="s">
        <v>163</v>
      </c>
      <c r="P222" s="18" t="s">
        <v>759</v>
      </c>
      <c r="Q222" s="18" t="str">
        <f>IFERROR(MATCH(K222,Niveles!$B$2:$B$10,0),"")</f>
        <v/>
      </c>
    </row>
    <row r="223" spans="1:17" x14ac:dyDescent="0.25">
      <c r="A223" s="18" t="s">
        <v>56</v>
      </c>
      <c r="B223" s="18">
        <v>1920</v>
      </c>
      <c r="C223" s="18" t="s">
        <v>760</v>
      </c>
      <c r="D223" s="18" t="s">
        <v>112</v>
      </c>
      <c r="E223" s="18" t="s">
        <v>761</v>
      </c>
      <c r="F223" s="18" t="s">
        <v>145</v>
      </c>
      <c r="G223" s="18" t="s">
        <v>112</v>
      </c>
      <c r="H223" s="18">
        <v>16</v>
      </c>
      <c r="I223" s="18" t="s">
        <v>162</v>
      </c>
      <c r="J223" s="18" t="s">
        <v>762</v>
      </c>
      <c r="K223" s="18" t="s">
        <v>105</v>
      </c>
      <c r="L223" s="18"/>
      <c r="M223" s="18" t="s">
        <v>255</v>
      </c>
      <c r="N223" s="18" t="s">
        <v>162</v>
      </c>
      <c r="O223" s="18" t="s">
        <v>175</v>
      </c>
      <c r="P223" s="18" t="s">
        <v>763</v>
      </c>
      <c r="Q223" s="18">
        <f>IFERROR(MATCH(K223,Niveles!$B$2:$B$10,0),"")</f>
        <v>6</v>
      </c>
    </row>
    <row r="224" spans="1:17" x14ac:dyDescent="0.25">
      <c r="A224" s="18" t="s">
        <v>56</v>
      </c>
      <c r="B224" s="18">
        <v>1920</v>
      </c>
      <c r="C224" s="18" t="s">
        <v>760</v>
      </c>
      <c r="D224" s="18" t="s">
        <v>237</v>
      </c>
      <c r="E224" s="18" t="s">
        <v>764</v>
      </c>
      <c r="F224" s="18" t="s">
        <v>145</v>
      </c>
      <c r="G224" s="18" t="s">
        <v>121</v>
      </c>
      <c r="H224" s="18">
        <v>18</v>
      </c>
      <c r="I224" s="18" t="s">
        <v>162</v>
      </c>
      <c r="J224" s="18"/>
      <c r="K224" s="18"/>
      <c r="L224" s="18"/>
      <c r="M224" s="18"/>
      <c r="N224" s="18"/>
      <c r="O224" s="18" t="s">
        <v>163</v>
      </c>
      <c r="P224" s="18"/>
      <c r="Q224" s="18" t="str">
        <f>IFERROR(MATCH(K224,Niveles!$B$2:$B$10,0),"")</f>
        <v/>
      </c>
    </row>
    <row r="225" spans="1:17" x14ac:dyDescent="0.25">
      <c r="A225" s="18" t="s">
        <v>56</v>
      </c>
      <c r="B225" s="18">
        <v>1920</v>
      </c>
      <c r="C225" s="18" t="s">
        <v>760</v>
      </c>
      <c r="D225" s="18" t="s">
        <v>121</v>
      </c>
      <c r="E225" s="18" t="s">
        <v>765</v>
      </c>
      <c r="F225" s="18" t="s">
        <v>145</v>
      </c>
      <c r="G225" s="18" t="s">
        <v>123</v>
      </c>
      <c r="H225" s="18">
        <v>19</v>
      </c>
      <c r="I225" s="18" t="s">
        <v>162</v>
      </c>
      <c r="J225" s="18" t="s">
        <v>766</v>
      </c>
      <c r="K225" s="18" t="s">
        <v>105</v>
      </c>
      <c r="L225" s="18" t="s">
        <v>429</v>
      </c>
      <c r="M225" s="18" t="s">
        <v>255</v>
      </c>
      <c r="N225" s="18" t="s">
        <v>162</v>
      </c>
      <c r="O225" s="18" t="s">
        <v>175</v>
      </c>
      <c r="P225" s="18" t="s">
        <v>767</v>
      </c>
      <c r="Q225" s="18">
        <f>IFERROR(MATCH(K225,Niveles!$B$2:$B$10,0),"")</f>
        <v>6</v>
      </c>
    </row>
    <row r="226" spans="1:17" x14ac:dyDescent="0.25">
      <c r="A226" s="18" t="s">
        <v>56</v>
      </c>
      <c r="B226" s="18">
        <v>1920</v>
      </c>
      <c r="C226" s="18" t="s">
        <v>760</v>
      </c>
      <c r="D226" s="18" t="s">
        <v>123</v>
      </c>
      <c r="E226" s="18" t="s">
        <v>768</v>
      </c>
      <c r="F226" s="18" t="s">
        <v>145</v>
      </c>
      <c r="G226" s="18" t="s">
        <v>114</v>
      </c>
      <c r="H226" s="18">
        <v>21</v>
      </c>
      <c r="I226" s="18" t="s">
        <v>162</v>
      </c>
      <c r="J226" s="18" t="s">
        <v>769</v>
      </c>
      <c r="K226" s="18" t="s">
        <v>105</v>
      </c>
      <c r="L226" s="18" t="s">
        <v>663</v>
      </c>
      <c r="M226" s="18" t="s">
        <v>255</v>
      </c>
      <c r="N226" s="18" t="s">
        <v>162</v>
      </c>
      <c r="O226" s="18" t="s">
        <v>175</v>
      </c>
      <c r="P226" s="18" t="s">
        <v>770</v>
      </c>
      <c r="Q226" s="18">
        <f>IFERROR(MATCH(K226,Niveles!$B$2:$B$10,0),"")</f>
        <v>6</v>
      </c>
    </row>
    <row r="227" spans="1:17" x14ac:dyDescent="0.25">
      <c r="A227" s="18" t="s">
        <v>56</v>
      </c>
      <c r="B227" s="18">
        <v>1920</v>
      </c>
      <c r="C227" s="18" t="s">
        <v>760</v>
      </c>
      <c r="D227" s="18" t="s">
        <v>113</v>
      </c>
      <c r="E227" s="18" t="s">
        <v>771</v>
      </c>
      <c r="F227" s="18" t="s">
        <v>145</v>
      </c>
      <c r="G227" s="18" t="s">
        <v>772</v>
      </c>
      <c r="H227" s="18">
        <v>23</v>
      </c>
      <c r="I227" s="18" t="s">
        <v>238</v>
      </c>
      <c r="J227" s="18" t="s">
        <v>769</v>
      </c>
      <c r="K227" s="18" t="s">
        <v>103</v>
      </c>
      <c r="L227" s="18" t="s">
        <v>663</v>
      </c>
      <c r="M227" s="18" t="s">
        <v>255</v>
      </c>
      <c r="N227" s="18" t="s">
        <v>162</v>
      </c>
      <c r="O227" s="18" t="s">
        <v>163</v>
      </c>
      <c r="P227" s="18" t="s">
        <v>773</v>
      </c>
      <c r="Q227" s="18">
        <f>IFERROR(MATCH(K227,Niveles!$B$2:$B$10,0),"")</f>
        <v>2</v>
      </c>
    </row>
    <row r="228" spans="1:17" x14ac:dyDescent="0.25">
      <c r="A228" s="18" t="s">
        <v>56</v>
      </c>
      <c r="B228" s="18">
        <v>1920</v>
      </c>
      <c r="C228" s="18" t="s">
        <v>760</v>
      </c>
      <c r="D228" s="18" t="s">
        <v>114</v>
      </c>
      <c r="E228" s="18" t="s">
        <v>774</v>
      </c>
      <c r="F228" s="18" t="s">
        <v>145</v>
      </c>
      <c r="G228" s="18" t="s">
        <v>775</v>
      </c>
      <c r="H228" s="18">
        <v>119</v>
      </c>
      <c r="I228" s="18" t="s">
        <v>162</v>
      </c>
      <c r="J228" s="18"/>
      <c r="K228" s="18"/>
      <c r="L228" s="18"/>
      <c r="M228" s="18"/>
      <c r="N228" s="18"/>
      <c r="O228" s="18" t="s">
        <v>163</v>
      </c>
      <c r="P228" s="18"/>
      <c r="Q228" s="18" t="str">
        <f>IFERROR(MATCH(K228,Niveles!$B$2:$B$10,0),"")</f>
        <v/>
      </c>
    </row>
    <row r="229" spans="1:17" x14ac:dyDescent="0.25">
      <c r="A229" s="18" t="s">
        <v>56</v>
      </c>
      <c r="B229" s="18">
        <v>1920</v>
      </c>
      <c r="C229" s="18" t="s">
        <v>760</v>
      </c>
      <c r="D229" s="18"/>
      <c r="E229" s="18" t="s">
        <v>776</v>
      </c>
      <c r="F229" s="18" t="s">
        <v>145</v>
      </c>
      <c r="G229" s="18" t="s">
        <v>777</v>
      </c>
      <c r="H229" s="18">
        <v>120</v>
      </c>
      <c r="I229" s="18" t="s">
        <v>238</v>
      </c>
      <c r="J229" s="18"/>
      <c r="K229" s="18"/>
      <c r="L229" s="18"/>
      <c r="M229" s="18"/>
      <c r="N229" s="18"/>
      <c r="O229" s="18" t="s">
        <v>163</v>
      </c>
      <c r="P229" s="18" t="s">
        <v>778</v>
      </c>
      <c r="Q229" s="18" t="str">
        <f>IFERROR(MATCH(K229,Niveles!$B$2:$B$10,0),"")</f>
        <v/>
      </c>
    </row>
    <row r="230" spans="1:17" x14ac:dyDescent="0.25">
      <c r="A230" s="18" t="s">
        <v>56</v>
      </c>
      <c r="B230" s="18">
        <v>1920</v>
      </c>
      <c r="C230" s="18" t="s">
        <v>779</v>
      </c>
      <c r="D230" s="18" t="s">
        <v>112</v>
      </c>
      <c r="E230" s="18" t="s">
        <v>780</v>
      </c>
      <c r="F230" s="18" t="s">
        <v>145</v>
      </c>
      <c r="G230" s="18" t="s">
        <v>781</v>
      </c>
      <c r="H230" s="18">
        <v>246</v>
      </c>
      <c r="I230" s="18" t="s">
        <v>238</v>
      </c>
      <c r="J230" s="18"/>
      <c r="K230" s="18"/>
      <c r="L230" s="18"/>
      <c r="M230" s="18"/>
      <c r="N230" s="18"/>
      <c r="O230" s="18" t="s">
        <v>163</v>
      </c>
      <c r="P230" s="18" t="s">
        <v>782</v>
      </c>
      <c r="Q230" s="18" t="str">
        <f>IFERROR(MATCH(K230,Niveles!$B$2:$B$10,0),"")</f>
        <v/>
      </c>
    </row>
    <row r="231" spans="1:17" x14ac:dyDescent="0.25">
      <c r="A231" s="18" t="s">
        <v>56</v>
      </c>
      <c r="B231" s="18">
        <v>1920</v>
      </c>
      <c r="C231" s="18" t="s">
        <v>779</v>
      </c>
      <c r="D231" s="18" t="s">
        <v>237</v>
      </c>
      <c r="E231" s="18" t="s">
        <v>783</v>
      </c>
      <c r="F231" s="18" t="s">
        <v>145</v>
      </c>
      <c r="G231" s="18" t="s">
        <v>784</v>
      </c>
      <c r="H231" s="18">
        <v>247</v>
      </c>
      <c r="I231" s="18" t="s">
        <v>162</v>
      </c>
      <c r="J231" s="18"/>
      <c r="K231" s="18"/>
      <c r="L231" s="18"/>
      <c r="M231" s="18"/>
      <c r="N231" s="18"/>
      <c r="O231" s="18" t="s">
        <v>163</v>
      </c>
      <c r="P231" s="18"/>
      <c r="Q231" s="18" t="str">
        <f>IFERROR(MATCH(K231,Niveles!$B$2:$B$10,0),"")</f>
        <v/>
      </c>
    </row>
    <row r="232" spans="1:17" x14ac:dyDescent="0.25">
      <c r="A232" s="18" t="s">
        <v>56</v>
      </c>
      <c r="B232" s="18">
        <v>1920</v>
      </c>
      <c r="C232" s="18" t="s">
        <v>779</v>
      </c>
      <c r="D232" s="18"/>
      <c r="E232" s="18" t="s">
        <v>785</v>
      </c>
      <c r="F232" s="18" t="s">
        <v>145</v>
      </c>
      <c r="G232" s="18" t="s">
        <v>786</v>
      </c>
      <c r="H232" s="18">
        <v>249</v>
      </c>
      <c r="I232" s="18" t="s">
        <v>238</v>
      </c>
      <c r="J232" s="18"/>
      <c r="K232" s="18"/>
      <c r="L232" s="18"/>
      <c r="M232" s="18"/>
      <c r="N232" s="18"/>
      <c r="O232" s="18" t="s">
        <v>163</v>
      </c>
      <c r="P232" s="18" t="s">
        <v>787</v>
      </c>
      <c r="Q232" s="18" t="str">
        <f>IFERROR(MATCH(K232,Niveles!$B$2:$B$10,0),"")</f>
        <v/>
      </c>
    </row>
    <row r="233" spans="1:17" x14ac:dyDescent="0.25">
      <c r="A233" s="18" t="s">
        <v>56</v>
      </c>
      <c r="B233" s="18">
        <v>1920</v>
      </c>
      <c r="C233" s="18" t="s">
        <v>779</v>
      </c>
      <c r="D233" s="18" t="s">
        <v>123</v>
      </c>
      <c r="E233" s="18" t="s">
        <v>788</v>
      </c>
      <c r="F233" s="18" t="s">
        <v>145</v>
      </c>
      <c r="G233" s="18" t="s">
        <v>786</v>
      </c>
      <c r="H233" s="18">
        <v>249</v>
      </c>
      <c r="I233" s="18" t="s">
        <v>162</v>
      </c>
      <c r="J233" s="18" t="s">
        <v>769</v>
      </c>
      <c r="K233" s="18" t="s">
        <v>105</v>
      </c>
      <c r="L233" s="18" t="s">
        <v>171</v>
      </c>
      <c r="M233" s="18" t="s">
        <v>255</v>
      </c>
      <c r="N233" s="18" t="s">
        <v>162</v>
      </c>
      <c r="O233" s="18" t="s">
        <v>175</v>
      </c>
      <c r="P233" s="18" t="s">
        <v>789</v>
      </c>
      <c r="Q233" s="18">
        <f>IFERROR(MATCH(K233,Niveles!$B$2:$B$10,0),"")</f>
        <v>6</v>
      </c>
    </row>
    <row r="234" spans="1:17" x14ac:dyDescent="0.25">
      <c r="A234" s="18" t="s">
        <v>56</v>
      </c>
      <c r="B234" s="18">
        <v>1920</v>
      </c>
      <c r="C234" s="18" t="s">
        <v>790</v>
      </c>
      <c r="D234" s="18" t="s">
        <v>112</v>
      </c>
      <c r="E234" s="18" t="s">
        <v>791</v>
      </c>
      <c r="F234" s="18" t="s">
        <v>145</v>
      </c>
      <c r="G234" s="18" t="s">
        <v>792</v>
      </c>
      <c r="H234" s="18">
        <v>291</v>
      </c>
      <c r="I234" s="18" t="s">
        <v>162</v>
      </c>
      <c r="J234" s="18"/>
      <c r="K234" s="18"/>
      <c r="L234" s="18"/>
      <c r="M234" s="18"/>
      <c r="N234" s="18"/>
      <c r="O234" s="18" t="s">
        <v>163</v>
      </c>
      <c r="P234" s="18"/>
      <c r="Q234" s="18" t="str">
        <f>IFERROR(MATCH(K234,Niveles!$B$2:$B$10,0),"")</f>
        <v/>
      </c>
    </row>
    <row r="235" spans="1:17" x14ac:dyDescent="0.25">
      <c r="A235" s="18" t="s">
        <v>56</v>
      </c>
      <c r="B235" s="18">
        <v>1920</v>
      </c>
      <c r="C235" s="18" t="s">
        <v>790</v>
      </c>
      <c r="D235" s="18"/>
      <c r="E235" s="18" t="s">
        <v>793</v>
      </c>
      <c r="F235" s="18" t="s">
        <v>145</v>
      </c>
      <c r="G235" s="18" t="s">
        <v>794</v>
      </c>
      <c r="H235" s="18">
        <v>297</v>
      </c>
      <c r="I235" s="18" t="s">
        <v>238</v>
      </c>
      <c r="J235" s="18"/>
      <c r="K235" s="18"/>
      <c r="L235" s="18"/>
      <c r="M235" s="18"/>
      <c r="N235" s="18"/>
      <c r="O235" s="18" t="s">
        <v>163</v>
      </c>
      <c r="P235" s="18" t="s">
        <v>795</v>
      </c>
      <c r="Q235" s="18" t="str">
        <f>IFERROR(MATCH(K235,Niveles!$B$2:$B$10,0),"")</f>
        <v/>
      </c>
    </row>
    <row r="236" spans="1:17" x14ac:dyDescent="0.25">
      <c r="A236" s="18" t="s">
        <v>56</v>
      </c>
      <c r="B236" s="18">
        <v>1920</v>
      </c>
      <c r="C236" s="18" t="s">
        <v>790</v>
      </c>
      <c r="D236" s="18"/>
      <c r="E236" s="18" t="s">
        <v>796</v>
      </c>
      <c r="F236" s="18" t="s">
        <v>145</v>
      </c>
      <c r="G236" s="18" t="s">
        <v>797</v>
      </c>
      <c r="H236" s="18">
        <v>309</v>
      </c>
      <c r="I236" s="18" t="s">
        <v>238</v>
      </c>
      <c r="J236" s="18"/>
      <c r="K236" s="18"/>
      <c r="L236" s="18"/>
      <c r="M236" s="18"/>
      <c r="N236" s="18"/>
      <c r="O236" s="18" t="s">
        <v>163</v>
      </c>
      <c r="P236" s="18" t="s">
        <v>798</v>
      </c>
      <c r="Q236" s="18" t="str">
        <f>IFERROR(MATCH(K236,Niveles!$B$2:$B$10,0),"")</f>
        <v/>
      </c>
    </row>
    <row r="237" spans="1:17" x14ac:dyDescent="0.25">
      <c r="A237" s="18" t="s">
        <v>56</v>
      </c>
      <c r="B237" s="18">
        <v>1920</v>
      </c>
      <c r="C237" s="18" t="s">
        <v>799</v>
      </c>
      <c r="D237" s="18" t="s">
        <v>112</v>
      </c>
      <c r="E237" s="18" t="s">
        <v>800</v>
      </c>
      <c r="F237" s="18" t="s">
        <v>145</v>
      </c>
      <c r="G237" s="18" t="s">
        <v>801</v>
      </c>
      <c r="H237" s="18">
        <v>318</v>
      </c>
      <c r="I237" s="18" t="s">
        <v>162</v>
      </c>
      <c r="J237" s="18"/>
      <c r="K237" s="18"/>
      <c r="L237" s="18"/>
      <c r="M237" s="18"/>
      <c r="N237" s="18"/>
      <c r="O237" s="18" t="s">
        <v>163</v>
      </c>
      <c r="P237" s="18"/>
      <c r="Q237" s="18" t="str">
        <f>IFERROR(MATCH(K237,Niveles!$B$2:$B$10,0),"")</f>
        <v/>
      </c>
    </row>
    <row r="238" spans="1:17" x14ac:dyDescent="0.25">
      <c r="A238" s="18" t="s">
        <v>56</v>
      </c>
      <c r="B238" s="18">
        <v>1920</v>
      </c>
      <c r="C238" s="18" t="s">
        <v>799</v>
      </c>
      <c r="D238" s="18" t="s">
        <v>237</v>
      </c>
      <c r="E238" s="18" t="s">
        <v>802</v>
      </c>
      <c r="F238" s="18" t="s">
        <v>145</v>
      </c>
      <c r="G238" s="18" t="s">
        <v>801</v>
      </c>
      <c r="H238" s="18">
        <v>318</v>
      </c>
      <c r="I238" s="18" t="s">
        <v>162</v>
      </c>
      <c r="J238" s="18"/>
      <c r="K238" s="18"/>
      <c r="L238" s="18"/>
      <c r="M238" s="18"/>
      <c r="N238" s="18"/>
      <c r="O238" s="18" t="s">
        <v>163</v>
      </c>
      <c r="P238" s="18"/>
      <c r="Q238" s="18" t="str">
        <f>IFERROR(MATCH(K238,Niveles!$B$2:$B$10,0),"")</f>
        <v/>
      </c>
    </row>
    <row r="239" spans="1:17" x14ac:dyDescent="0.25">
      <c r="A239" s="18" t="s">
        <v>56</v>
      </c>
      <c r="B239" s="18">
        <v>1920</v>
      </c>
      <c r="C239" s="18" t="s">
        <v>799</v>
      </c>
      <c r="D239" s="18"/>
      <c r="E239" s="18" t="s">
        <v>803</v>
      </c>
      <c r="F239" s="18" t="s">
        <v>145</v>
      </c>
      <c r="G239" s="18" t="s">
        <v>804</v>
      </c>
      <c r="H239" s="18">
        <v>322</v>
      </c>
      <c r="I239" s="18" t="s">
        <v>238</v>
      </c>
      <c r="J239" s="18"/>
      <c r="K239" s="18"/>
      <c r="L239" s="18"/>
      <c r="M239" s="18"/>
      <c r="N239" s="18"/>
      <c r="O239" s="18" t="s">
        <v>163</v>
      </c>
      <c r="P239" s="18" t="s">
        <v>805</v>
      </c>
      <c r="Q239" s="18" t="str">
        <f>IFERROR(MATCH(K239,Niveles!$B$2:$B$10,0),"")</f>
        <v/>
      </c>
    </row>
    <row r="240" spans="1:17" x14ac:dyDescent="0.25">
      <c r="A240" s="18" t="s">
        <v>56</v>
      </c>
      <c r="B240" s="18">
        <v>1920</v>
      </c>
      <c r="C240" s="18" t="s">
        <v>799</v>
      </c>
      <c r="D240" s="18"/>
      <c r="E240" s="18" t="s">
        <v>806</v>
      </c>
      <c r="F240" s="18" t="s">
        <v>145</v>
      </c>
      <c r="G240" s="18" t="s">
        <v>807</v>
      </c>
      <c r="H240" s="18">
        <v>363</v>
      </c>
      <c r="I240" s="18" t="s">
        <v>238</v>
      </c>
      <c r="J240" s="18"/>
      <c r="K240" s="18"/>
      <c r="L240" s="18"/>
      <c r="M240" s="18"/>
      <c r="N240" s="18"/>
      <c r="O240" s="18" t="s">
        <v>163</v>
      </c>
      <c r="P240" s="18" t="s">
        <v>808</v>
      </c>
      <c r="Q240" s="18" t="str">
        <f>IFERROR(MATCH(K240,Niveles!$B$2:$B$10,0),"")</f>
        <v/>
      </c>
    </row>
    <row r="241" spans="1:17" x14ac:dyDescent="0.25">
      <c r="A241" s="18" t="s">
        <v>56</v>
      </c>
      <c r="B241" s="18">
        <v>1920</v>
      </c>
      <c r="C241" s="18" t="s">
        <v>799</v>
      </c>
      <c r="D241" s="18"/>
      <c r="E241" s="18" t="s">
        <v>809</v>
      </c>
      <c r="F241" s="18" t="s">
        <v>145</v>
      </c>
      <c r="G241" s="18" t="s">
        <v>810</v>
      </c>
      <c r="H241" s="18">
        <v>393</v>
      </c>
      <c r="I241" s="18" t="s">
        <v>238</v>
      </c>
      <c r="J241" s="18"/>
      <c r="K241" s="18"/>
      <c r="L241" s="18"/>
      <c r="M241" s="18"/>
      <c r="N241" s="18"/>
      <c r="O241" s="18" t="s">
        <v>163</v>
      </c>
      <c r="P241" s="18" t="s">
        <v>811</v>
      </c>
      <c r="Q241" s="18" t="str">
        <f>IFERROR(MATCH(K241,Niveles!$B$2:$B$10,0),"")</f>
        <v/>
      </c>
    </row>
    <row r="242" spans="1:17" x14ac:dyDescent="0.25">
      <c r="A242" s="18" t="s">
        <v>56</v>
      </c>
      <c r="B242" s="18">
        <v>1920</v>
      </c>
      <c r="C242" s="18" t="s">
        <v>812</v>
      </c>
      <c r="D242" s="18"/>
      <c r="E242" s="18" t="s">
        <v>813</v>
      </c>
      <c r="F242" s="18" t="s">
        <v>145</v>
      </c>
      <c r="G242" s="18" t="s">
        <v>814</v>
      </c>
      <c r="H242" s="18">
        <v>421</v>
      </c>
      <c r="I242" s="18" t="s">
        <v>238</v>
      </c>
      <c r="J242" s="18"/>
      <c r="K242" s="18"/>
      <c r="L242" s="18"/>
      <c r="M242" s="18"/>
      <c r="N242" s="18"/>
      <c r="O242" s="18" t="s">
        <v>163</v>
      </c>
      <c r="P242" s="18" t="s">
        <v>815</v>
      </c>
      <c r="Q242" s="18" t="str">
        <f>IFERROR(MATCH(K242,Niveles!$B$2:$B$10,0),"")</f>
        <v/>
      </c>
    </row>
    <row r="243" spans="1:17" x14ac:dyDescent="0.25">
      <c r="A243" s="18" t="s">
        <v>56</v>
      </c>
      <c r="B243" s="18">
        <v>1920</v>
      </c>
      <c r="C243" s="18" t="s">
        <v>816</v>
      </c>
      <c r="D243" s="18"/>
      <c r="E243" s="18" t="s">
        <v>817</v>
      </c>
      <c r="F243" s="18" t="s">
        <v>145</v>
      </c>
      <c r="G243" s="18" t="s">
        <v>818</v>
      </c>
      <c r="H243" s="18">
        <v>588</v>
      </c>
      <c r="I243" s="18" t="s">
        <v>238</v>
      </c>
      <c r="J243" s="18"/>
      <c r="K243" s="18"/>
      <c r="L243" s="18"/>
      <c r="M243" s="18"/>
      <c r="N243" s="18"/>
      <c r="O243" s="18" t="s">
        <v>163</v>
      </c>
      <c r="P243" s="18" t="s">
        <v>819</v>
      </c>
      <c r="Q243" s="18" t="str">
        <f>IFERROR(MATCH(K243,Niveles!$B$2:$B$10,0),"")</f>
        <v/>
      </c>
    </row>
    <row r="244" spans="1:17" x14ac:dyDescent="0.25">
      <c r="A244" s="18" t="s">
        <v>56</v>
      </c>
      <c r="B244" s="18">
        <v>1920</v>
      </c>
      <c r="C244" s="18" t="s">
        <v>820</v>
      </c>
      <c r="D244" s="18" t="s">
        <v>112</v>
      </c>
      <c r="E244" s="18" t="s">
        <v>821</v>
      </c>
      <c r="F244" s="18" t="s">
        <v>145</v>
      </c>
      <c r="G244" s="18" t="s">
        <v>822</v>
      </c>
      <c r="H244" s="18">
        <v>602</v>
      </c>
      <c r="I244" s="18" t="s">
        <v>162</v>
      </c>
      <c r="J244" s="18"/>
      <c r="K244" s="18"/>
      <c r="L244" s="18"/>
      <c r="M244" s="18"/>
      <c r="N244" s="18"/>
      <c r="O244" s="18" t="s">
        <v>163</v>
      </c>
      <c r="P244" s="18"/>
      <c r="Q244" s="18" t="str">
        <f>IFERROR(MATCH(K244,Niveles!$B$2:$B$10,0),"")</f>
        <v/>
      </c>
    </row>
    <row r="245" spans="1:17" x14ac:dyDescent="0.25">
      <c r="A245" s="18" t="s">
        <v>56</v>
      </c>
      <c r="B245" s="18">
        <v>1920</v>
      </c>
      <c r="C245" s="18" t="s">
        <v>820</v>
      </c>
      <c r="D245" s="18" t="s">
        <v>237</v>
      </c>
      <c r="E245" s="18" t="s">
        <v>823</v>
      </c>
      <c r="F245" s="18" t="s">
        <v>145</v>
      </c>
      <c r="G245" s="18" t="s">
        <v>824</v>
      </c>
      <c r="H245" s="18">
        <v>603</v>
      </c>
      <c r="I245" s="18" t="s">
        <v>162</v>
      </c>
      <c r="J245" s="18"/>
      <c r="K245" s="18"/>
      <c r="L245" s="18"/>
      <c r="M245" s="18"/>
      <c r="N245" s="18"/>
      <c r="O245" s="18" t="s">
        <v>163</v>
      </c>
      <c r="P245" s="18"/>
      <c r="Q245" s="18" t="str">
        <f>IFERROR(MATCH(K245,Niveles!$B$2:$B$10,0),"")</f>
        <v/>
      </c>
    </row>
    <row r="246" spans="1:17" x14ac:dyDescent="0.25">
      <c r="A246" s="18" t="s">
        <v>56</v>
      </c>
      <c r="B246" s="18">
        <v>1920</v>
      </c>
      <c r="C246" s="18" t="s">
        <v>825</v>
      </c>
      <c r="D246" s="18"/>
      <c r="E246" s="18" t="s">
        <v>826</v>
      </c>
      <c r="F246" s="18" t="s">
        <v>145</v>
      </c>
      <c r="G246" s="18" t="s">
        <v>827</v>
      </c>
      <c r="H246" s="18">
        <v>612</v>
      </c>
      <c r="I246" s="18" t="s">
        <v>238</v>
      </c>
      <c r="J246" s="18"/>
      <c r="K246" s="18"/>
      <c r="L246" s="18"/>
      <c r="M246" s="18"/>
      <c r="N246" s="18"/>
      <c r="O246" s="18" t="s">
        <v>163</v>
      </c>
      <c r="P246" s="18" t="s">
        <v>828</v>
      </c>
      <c r="Q246" s="18" t="str">
        <f>IFERROR(MATCH(K246,Niveles!$B$2:$B$10,0),"")</f>
        <v/>
      </c>
    </row>
    <row r="247" spans="1:17" x14ac:dyDescent="0.25">
      <c r="A247" s="18" t="s">
        <v>56</v>
      </c>
      <c r="B247" s="18">
        <v>1920</v>
      </c>
      <c r="C247" s="18" t="s">
        <v>829</v>
      </c>
      <c r="D247" s="18" t="s">
        <v>112</v>
      </c>
      <c r="E247" s="18" t="s">
        <v>830</v>
      </c>
      <c r="F247" s="18" t="s">
        <v>145</v>
      </c>
      <c r="G247" s="18" t="s">
        <v>831</v>
      </c>
      <c r="H247" s="18">
        <v>618</v>
      </c>
      <c r="I247" s="18" t="s">
        <v>162</v>
      </c>
      <c r="J247" s="18"/>
      <c r="K247" s="18"/>
      <c r="L247" s="18"/>
      <c r="M247" s="18"/>
      <c r="N247" s="18"/>
      <c r="O247" s="18" t="s">
        <v>163</v>
      </c>
      <c r="P247" s="18"/>
      <c r="Q247" s="18" t="str">
        <f>IFERROR(MATCH(K247,Niveles!$B$2:$B$10,0),"")</f>
        <v/>
      </c>
    </row>
    <row r="248" spans="1:17" x14ac:dyDescent="0.25">
      <c r="A248" s="18" t="s">
        <v>56</v>
      </c>
      <c r="B248" s="18">
        <v>1920</v>
      </c>
      <c r="C248" s="18" t="s">
        <v>829</v>
      </c>
      <c r="D248" s="18" t="s">
        <v>121</v>
      </c>
      <c r="E248" s="18" t="s">
        <v>832</v>
      </c>
      <c r="F248" s="18" t="s">
        <v>145</v>
      </c>
      <c r="G248" s="18" t="s">
        <v>833</v>
      </c>
      <c r="H248" s="18">
        <v>619</v>
      </c>
      <c r="I248" s="18" t="s">
        <v>162</v>
      </c>
      <c r="J248" s="18"/>
      <c r="K248" s="18"/>
      <c r="L248" s="18"/>
      <c r="M248" s="18"/>
      <c r="N248" s="18"/>
      <c r="O248" s="18" t="s">
        <v>163</v>
      </c>
      <c r="P248" s="18" t="s">
        <v>834</v>
      </c>
      <c r="Q248" s="18" t="str">
        <f>IFERROR(MATCH(K248,Niveles!$B$2:$B$10,0),"")</f>
        <v/>
      </c>
    </row>
    <row r="249" spans="1:17" x14ac:dyDescent="0.25">
      <c r="A249" s="18" t="s">
        <v>59</v>
      </c>
      <c r="B249" s="18">
        <v>1930</v>
      </c>
      <c r="C249" s="18" t="s">
        <v>835</v>
      </c>
      <c r="D249" s="18" t="s">
        <v>836</v>
      </c>
      <c r="E249" s="18" t="s">
        <v>837</v>
      </c>
      <c r="F249" s="18" t="s">
        <v>161</v>
      </c>
      <c r="G249" s="18" t="s">
        <v>118</v>
      </c>
      <c r="H249" s="18">
        <v>5</v>
      </c>
      <c r="I249" s="18" t="s">
        <v>238</v>
      </c>
      <c r="J249" s="18"/>
      <c r="K249" s="18"/>
      <c r="L249" s="18"/>
      <c r="M249" s="18"/>
      <c r="N249" s="18"/>
      <c r="O249" s="18" t="s">
        <v>163</v>
      </c>
      <c r="P249" s="18"/>
      <c r="Q249" s="18" t="str">
        <f>IFERROR(MATCH(K249,Niveles!$B$2:$B$10,0),"")</f>
        <v/>
      </c>
    </row>
    <row r="250" spans="1:17" x14ac:dyDescent="0.25">
      <c r="A250" s="18" t="s">
        <v>59</v>
      </c>
      <c r="B250" s="18">
        <v>1930</v>
      </c>
      <c r="C250" s="18" t="s">
        <v>835</v>
      </c>
      <c r="D250" s="18" t="s">
        <v>838</v>
      </c>
      <c r="E250" s="18" t="s">
        <v>839</v>
      </c>
      <c r="F250" s="18" t="s">
        <v>161</v>
      </c>
      <c r="G250" s="18" t="s">
        <v>840</v>
      </c>
      <c r="H250" s="18">
        <v>13</v>
      </c>
      <c r="I250" s="18" t="s">
        <v>238</v>
      </c>
      <c r="J250" s="18"/>
      <c r="K250" s="18"/>
      <c r="L250" s="18"/>
      <c r="M250" s="18"/>
      <c r="N250" s="18"/>
      <c r="O250" s="18" t="s">
        <v>163</v>
      </c>
      <c r="P250" s="18"/>
      <c r="Q250" s="18" t="str">
        <f>IFERROR(MATCH(K250,Niveles!$B$2:$B$10,0),"")</f>
        <v/>
      </c>
    </row>
    <row r="251" spans="1:17" x14ac:dyDescent="0.25">
      <c r="A251" s="18" t="s">
        <v>59</v>
      </c>
      <c r="B251" s="18">
        <v>1930</v>
      </c>
      <c r="C251" s="18" t="s">
        <v>835</v>
      </c>
      <c r="D251" s="18" t="s">
        <v>841</v>
      </c>
      <c r="E251" s="18" t="s">
        <v>842</v>
      </c>
      <c r="F251" s="18" t="s">
        <v>161</v>
      </c>
      <c r="G251" s="18" t="s">
        <v>843</v>
      </c>
      <c r="H251" s="18">
        <v>14</v>
      </c>
      <c r="I251" s="18" t="s">
        <v>238</v>
      </c>
      <c r="J251" s="18"/>
      <c r="K251" s="18"/>
      <c r="L251" s="18"/>
      <c r="M251" s="18"/>
      <c r="N251" s="18"/>
      <c r="O251" s="18" t="s">
        <v>163</v>
      </c>
      <c r="P251" s="18"/>
      <c r="Q251" s="18" t="str">
        <f>IFERROR(MATCH(K251,Niveles!$B$2:$B$10,0),"")</f>
        <v/>
      </c>
    </row>
    <row r="252" spans="1:17" x14ac:dyDescent="0.25">
      <c r="A252" s="18" t="s">
        <v>59</v>
      </c>
      <c r="B252" s="18">
        <v>1930</v>
      </c>
      <c r="C252" s="18" t="s">
        <v>844</v>
      </c>
      <c r="D252" s="18" t="s">
        <v>845</v>
      </c>
      <c r="E252" s="18" t="s">
        <v>846</v>
      </c>
      <c r="F252" s="18" t="s">
        <v>161</v>
      </c>
      <c r="G252" s="18" t="s">
        <v>294</v>
      </c>
      <c r="H252" s="18">
        <v>15</v>
      </c>
      <c r="I252" s="18" t="s">
        <v>238</v>
      </c>
      <c r="J252" s="18"/>
      <c r="K252" s="18"/>
      <c r="L252" s="18"/>
      <c r="M252" s="18"/>
      <c r="N252" s="18"/>
      <c r="O252" s="18" t="s">
        <v>163</v>
      </c>
      <c r="P252" s="18"/>
      <c r="Q252" s="18" t="str">
        <f>IFERROR(MATCH(K252,Niveles!$B$2:$B$10,0),"")</f>
        <v/>
      </c>
    </row>
    <row r="253" spans="1:17" x14ac:dyDescent="0.25">
      <c r="A253" s="18" t="s">
        <v>59</v>
      </c>
      <c r="B253" s="18">
        <v>1930</v>
      </c>
      <c r="C253" s="18" t="s">
        <v>844</v>
      </c>
      <c r="D253" s="18" t="s">
        <v>847</v>
      </c>
      <c r="E253" s="18" t="s">
        <v>848</v>
      </c>
      <c r="F253" s="18" t="s">
        <v>161</v>
      </c>
      <c r="G253" s="18" t="s">
        <v>247</v>
      </c>
      <c r="H253" s="18">
        <v>16</v>
      </c>
      <c r="I253" s="18" t="s">
        <v>238</v>
      </c>
      <c r="J253" s="18"/>
      <c r="K253" s="18"/>
      <c r="L253" s="18"/>
      <c r="M253" s="18"/>
      <c r="N253" s="18"/>
      <c r="O253" s="18" t="s">
        <v>163</v>
      </c>
      <c r="P253" s="18"/>
      <c r="Q253" s="18" t="str">
        <f>IFERROR(MATCH(K253,Niveles!$B$2:$B$10,0),"")</f>
        <v/>
      </c>
    </row>
    <row r="254" spans="1:17" x14ac:dyDescent="0.25">
      <c r="A254" s="18" t="s">
        <v>59</v>
      </c>
      <c r="B254" s="18">
        <v>1930</v>
      </c>
      <c r="C254" s="18" t="s">
        <v>844</v>
      </c>
      <c r="D254" s="18" t="s">
        <v>849</v>
      </c>
      <c r="E254" s="18" t="s">
        <v>850</v>
      </c>
      <c r="F254" s="18" t="s">
        <v>161</v>
      </c>
      <c r="G254" s="18" t="s">
        <v>851</v>
      </c>
      <c r="H254" s="18">
        <v>22</v>
      </c>
      <c r="I254" s="18" t="s">
        <v>238</v>
      </c>
      <c r="J254" s="18"/>
      <c r="K254" s="18"/>
      <c r="L254" s="18"/>
      <c r="M254" s="18"/>
      <c r="N254" s="18"/>
      <c r="O254" s="18" t="s">
        <v>163</v>
      </c>
      <c r="P254" s="18"/>
      <c r="Q254" s="18" t="str">
        <f>IFERROR(MATCH(K254,Niveles!$B$2:$B$10,0),"")</f>
        <v/>
      </c>
    </row>
    <row r="255" spans="1:17" x14ac:dyDescent="0.25">
      <c r="A255" s="18" t="s">
        <v>59</v>
      </c>
      <c r="B255" s="18">
        <v>1930</v>
      </c>
      <c r="C255" s="18" t="s">
        <v>844</v>
      </c>
      <c r="D255" s="18" t="s">
        <v>852</v>
      </c>
      <c r="E255" s="18" t="s">
        <v>853</v>
      </c>
      <c r="F255" s="18" t="s">
        <v>161</v>
      </c>
      <c r="G255" s="18" t="s">
        <v>738</v>
      </c>
      <c r="H255" s="18">
        <v>25</v>
      </c>
      <c r="I255" s="18" t="s">
        <v>238</v>
      </c>
      <c r="J255" s="18"/>
      <c r="K255" s="18"/>
      <c r="L255" s="18"/>
      <c r="M255" s="18"/>
      <c r="N255" s="18"/>
      <c r="O255" s="18" t="s">
        <v>163</v>
      </c>
      <c r="P255" s="18"/>
      <c r="Q255" s="18" t="str">
        <f>IFERROR(MATCH(K255,Niveles!$B$2:$B$10,0),"")</f>
        <v/>
      </c>
    </row>
    <row r="256" spans="1:17" x14ac:dyDescent="0.25">
      <c r="A256" s="18" t="s">
        <v>59</v>
      </c>
      <c r="B256" s="18">
        <v>1930</v>
      </c>
      <c r="C256" s="18" t="s">
        <v>844</v>
      </c>
      <c r="D256" s="18" t="s">
        <v>854</v>
      </c>
      <c r="E256" s="18" t="s">
        <v>855</v>
      </c>
      <c r="F256" s="18" t="s">
        <v>161</v>
      </c>
      <c r="G256" s="18" t="s">
        <v>297</v>
      </c>
      <c r="H256" s="18">
        <v>29</v>
      </c>
      <c r="I256" s="18" t="s">
        <v>238</v>
      </c>
      <c r="J256" s="18"/>
      <c r="K256" s="18"/>
      <c r="L256" s="18"/>
      <c r="M256" s="18"/>
      <c r="N256" s="18"/>
      <c r="O256" s="18" t="s">
        <v>163</v>
      </c>
      <c r="P256" s="18"/>
      <c r="Q256" s="18" t="str">
        <f>IFERROR(MATCH(K256,Niveles!$B$2:$B$10,0),"")</f>
        <v/>
      </c>
    </row>
    <row r="257" spans="1:17" x14ac:dyDescent="0.25">
      <c r="A257" s="18" t="s">
        <v>59</v>
      </c>
      <c r="B257" s="18">
        <v>1930</v>
      </c>
      <c r="C257" s="18" t="s">
        <v>856</v>
      </c>
      <c r="D257" s="18" t="s">
        <v>112</v>
      </c>
      <c r="E257" s="18" t="s">
        <v>857</v>
      </c>
      <c r="F257" s="18" t="s">
        <v>145</v>
      </c>
      <c r="G257" s="18" t="s">
        <v>858</v>
      </c>
      <c r="H257" s="18">
        <v>38</v>
      </c>
      <c r="I257" s="18" t="s">
        <v>238</v>
      </c>
      <c r="J257" s="18" t="s">
        <v>859</v>
      </c>
      <c r="K257" s="18" t="s">
        <v>106</v>
      </c>
      <c r="L257" s="18"/>
      <c r="M257" s="18" t="s">
        <v>255</v>
      </c>
      <c r="N257" s="18" t="s">
        <v>341</v>
      </c>
      <c r="O257" s="18" t="s">
        <v>163</v>
      </c>
      <c r="P257" s="18"/>
      <c r="Q257" s="18">
        <f>IFERROR(MATCH(K257,Niveles!$B$2:$B$10,0),"")</f>
        <v>7</v>
      </c>
    </row>
    <row r="258" spans="1:17" x14ac:dyDescent="0.25">
      <c r="A258" s="18" t="s">
        <v>59</v>
      </c>
      <c r="B258" s="18">
        <v>1930</v>
      </c>
      <c r="C258" s="18" t="s">
        <v>856</v>
      </c>
      <c r="D258" s="18" t="s">
        <v>237</v>
      </c>
      <c r="E258" s="18" t="s">
        <v>860</v>
      </c>
      <c r="F258" s="18" t="s">
        <v>145</v>
      </c>
      <c r="G258" s="18" t="s">
        <v>858</v>
      </c>
      <c r="H258" s="18">
        <v>38</v>
      </c>
      <c r="I258" s="18" t="s">
        <v>238</v>
      </c>
      <c r="J258" s="18"/>
      <c r="K258" s="18"/>
      <c r="L258" s="18"/>
      <c r="M258" s="18"/>
      <c r="N258" s="18"/>
      <c r="O258" s="18" t="s">
        <v>163</v>
      </c>
      <c r="P258" s="18"/>
      <c r="Q258" s="18" t="str">
        <f>IFERROR(MATCH(K258,Niveles!$B$2:$B$10,0),"")</f>
        <v/>
      </c>
    </row>
    <row r="259" spans="1:17" x14ac:dyDescent="0.25">
      <c r="A259" s="18" t="s">
        <v>59</v>
      </c>
      <c r="B259" s="18">
        <v>1930</v>
      </c>
      <c r="C259" s="18" t="s">
        <v>856</v>
      </c>
      <c r="D259" s="18" t="s">
        <v>121</v>
      </c>
      <c r="E259" s="18" t="s">
        <v>861</v>
      </c>
      <c r="F259" s="18" t="s">
        <v>145</v>
      </c>
      <c r="G259" s="18" t="s">
        <v>862</v>
      </c>
      <c r="H259" s="18">
        <v>39</v>
      </c>
      <c r="I259" s="18" t="s">
        <v>238</v>
      </c>
      <c r="J259" s="18" t="s">
        <v>859</v>
      </c>
      <c r="K259" s="18" t="s">
        <v>125</v>
      </c>
      <c r="L259" s="18"/>
      <c r="M259" s="18" t="s">
        <v>255</v>
      </c>
      <c r="N259" s="18" t="s">
        <v>341</v>
      </c>
      <c r="O259" s="18" t="s">
        <v>163</v>
      </c>
      <c r="P259" s="18"/>
      <c r="Q259" s="18">
        <f>IFERROR(MATCH(K259,Niveles!$B$2:$B$10,0),"")</f>
        <v>3</v>
      </c>
    </row>
    <row r="260" spans="1:17" x14ac:dyDescent="0.25">
      <c r="A260" s="18" t="s">
        <v>59</v>
      </c>
      <c r="B260" s="18">
        <v>1930</v>
      </c>
      <c r="C260" s="18" t="s">
        <v>856</v>
      </c>
      <c r="D260" s="18" t="s">
        <v>123</v>
      </c>
      <c r="E260" s="18" t="s">
        <v>863</v>
      </c>
      <c r="F260" s="18" t="s">
        <v>145</v>
      </c>
      <c r="G260" s="18" t="s">
        <v>461</v>
      </c>
      <c r="H260" s="18">
        <v>44</v>
      </c>
      <c r="I260" s="18" t="s">
        <v>238</v>
      </c>
      <c r="J260" s="18"/>
      <c r="K260" s="18"/>
      <c r="L260" s="18"/>
      <c r="M260" s="18"/>
      <c r="N260" s="18"/>
      <c r="O260" s="18" t="s">
        <v>163</v>
      </c>
      <c r="P260" s="18"/>
      <c r="Q260" s="18" t="str">
        <f>IFERROR(MATCH(K260,Niveles!$B$2:$B$10,0),"")</f>
        <v/>
      </c>
    </row>
    <row r="261" spans="1:17" x14ac:dyDescent="0.25">
      <c r="A261" s="18" t="s">
        <v>59</v>
      </c>
      <c r="B261" s="18">
        <v>1930</v>
      </c>
      <c r="C261" s="18" t="s">
        <v>856</v>
      </c>
      <c r="D261" s="18" t="s">
        <v>113</v>
      </c>
      <c r="E261" s="18" t="s">
        <v>864</v>
      </c>
      <c r="F261" s="18" t="s">
        <v>145</v>
      </c>
      <c r="G261" s="18" t="s">
        <v>865</v>
      </c>
      <c r="H261" s="18">
        <v>45</v>
      </c>
      <c r="I261" s="18" t="s">
        <v>238</v>
      </c>
      <c r="J261" s="18"/>
      <c r="K261" s="18"/>
      <c r="L261" s="18"/>
      <c r="M261" s="18"/>
      <c r="N261" s="18"/>
      <c r="O261" s="18" t="s">
        <v>163</v>
      </c>
      <c r="P261" s="18"/>
      <c r="Q261" s="18" t="str">
        <f>IFERROR(MATCH(K261,Niveles!$B$2:$B$10,0),"")</f>
        <v/>
      </c>
    </row>
    <row r="262" spans="1:17" x14ac:dyDescent="0.25">
      <c r="A262" s="18" t="s">
        <v>59</v>
      </c>
      <c r="B262" s="18">
        <v>1930</v>
      </c>
      <c r="C262" s="18" t="s">
        <v>856</v>
      </c>
      <c r="D262" s="18" t="s">
        <v>114</v>
      </c>
      <c r="E262" s="18" t="s">
        <v>866</v>
      </c>
      <c r="F262" s="18" t="s">
        <v>145</v>
      </c>
      <c r="G262" s="18" t="s">
        <v>867</v>
      </c>
      <c r="H262" s="18">
        <v>46</v>
      </c>
      <c r="I262" s="18" t="s">
        <v>238</v>
      </c>
      <c r="J262" s="18"/>
      <c r="K262" s="18"/>
      <c r="L262" s="18"/>
      <c r="M262" s="18"/>
      <c r="N262" s="18"/>
      <c r="O262" s="18" t="s">
        <v>163</v>
      </c>
      <c r="P262" s="18"/>
      <c r="Q262" s="18" t="str">
        <f>IFERROR(MATCH(K262,Niveles!$B$2:$B$10,0),"")</f>
        <v/>
      </c>
    </row>
    <row r="263" spans="1:17" x14ac:dyDescent="0.25">
      <c r="A263" s="18" t="s">
        <v>59</v>
      </c>
      <c r="B263" s="18">
        <v>1930</v>
      </c>
      <c r="C263" s="18" t="s">
        <v>856</v>
      </c>
      <c r="D263" s="18" t="s">
        <v>118</v>
      </c>
      <c r="E263" s="18" t="s">
        <v>868</v>
      </c>
      <c r="F263" s="18" t="s">
        <v>145</v>
      </c>
      <c r="G263" s="18" t="s">
        <v>869</v>
      </c>
      <c r="H263" s="18">
        <v>48</v>
      </c>
      <c r="I263" s="18" t="s">
        <v>238</v>
      </c>
      <c r="J263" s="18"/>
      <c r="K263" s="18"/>
      <c r="L263" s="18"/>
      <c r="M263" s="18"/>
      <c r="N263" s="18"/>
      <c r="O263" s="18" t="s">
        <v>163</v>
      </c>
      <c r="P263" s="18"/>
      <c r="Q263" s="18" t="str">
        <f>IFERROR(MATCH(K263,Niveles!$B$2:$B$10,0),"")</f>
        <v/>
      </c>
    </row>
    <row r="264" spans="1:17" x14ac:dyDescent="0.25">
      <c r="A264" s="18" t="s">
        <v>59</v>
      </c>
      <c r="B264" s="18">
        <v>1930</v>
      </c>
      <c r="C264" s="18" t="s">
        <v>856</v>
      </c>
      <c r="D264" s="18" t="s">
        <v>772</v>
      </c>
      <c r="E264" s="18" t="s">
        <v>870</v>
      </c>
      <c r="F264" s="18" t="s">
        <v>145</v>
      </c>
      <c r="G264" s="18" t="s">
        <v>869</v>
      </c>
      <c r="H264" s="18">
        <v>48</v>
      </c>
      <c r="I264" s="18" t="s">
        <v>238</v>
      </c>
      <c r="J264" s="18"/>
      <c r="K264" s="18"/>
      <c r="L264" s="18"/>
      <c r="M264" s="18"/>
      <c r="N264" s="18"/>
      <c r="O264" s="18" t="s">
        <v>163</v>
      </c>
      <c r="P264" s="18"/>
      <c r="Q264" s="18" t="str">
        <f>IFERROR(MATCH(K264,Niveles!$B$2:$B$10,0),"")</f>
        <v/>
      </c>
    </row>
    <row r="265" spans="1:17" x14ac:dyDescent="0.25">
      <c r="A265" s="18" t="s">
        <v>59</v>
      </c>
      <c r="B265" s="18">
        <v>1930</v>
      </c>
      <c r="C265" s="18" t="s">
        <v>856</v>
      </c>
      <c r="D265" s="18" t="s">
        <v>115</v>
      </c>
      <c r="E265" s="18" t="s">
        <v>871</v>
      </c>
      <c r="F265" s="18" t="s">
        <v>145</v>
      </c>
      <c r="G265" s="18" t="s">
        <v>872</v>
      </c>
      <c r="H265" s="18">
        <v>49</v>
      </c>
      <c r="I265" s="18" t="s">
        <v>162</v>
      </c>
      <c r="J265" s="18" t="s">
        <v>859</v>
      </c>
      <c r="K265" s="18" t="s">
        <v>125</v>
      </c>
      <c r="L265" s="18" t="s">
        <v>663</v>
      </c>
      <c r="M265" s="18" t="s">
        <v>255</v>
      </c>
      <c r="N265" s="18" t="s">
        <v>162</v>
      </c>
      <c r="O265" s="18" t="s">
        <v>175</v>
      </c>
      <c r="P265" s="18" t="s">
        <v>873</v>
      </c>
      <c r="Q265" s="18">
        <f>IFERROR(MATCH(K265,Niveles!$B$2:$B$10,0),"")</f>
        <v>3</v>
      </c>
    </row>
    <row r="266" spans="1:17" x14ac:dyDescent="0.25">
      <c r="A266" s="18" t="s">
        <v>59</v>
      </c>
      <c r="B266" s="18">
        <v>1930</v>
      </c>
      <c r="C266" s="18" t="s">
        <v>856</v>
      </c>
      <c r="D266" s="18" t="s">
        <v>122</v>
      </c>
      <c r="E266" s="18" t="s">
        <v>874</v>
      </c>
      <c r="F266" s="18" t="s">
        <v>145</v>
      </c>
      <c r="G266" s="18" t="s">
        <v>875</v>
      </c>
      <c r="H266" s="18">
        <v>54</v>
      </c>
      <c r="I266" s="18" t="s">
        <v>162</v>
      </c>
      <c r="J266" s="18" t="s">
        <v>876</v>
      </c>
      <c r="K266" s="18" t="s">
        <v>106</v>
      </c>
      <c r="L266" s="18" t="s">
        <v>429</v>
      </c>
      <c r="M266" s="18" t="s">
        <v>255</v>
      </c>
      <c r="N266" s="18" t="s">
        <v>162</v>
      </c>
      <c r="O266" s="18" t="s">
        <v>175</v>
      </c>
      <c r="P266" s="18" t="s">
        <v>877</v>
      </c>
      <c r="Q266" s="18">
        <f>IFERROR(MATCH(K266,Niveles!$B$2:$B$10,0),"")</f>
        <v>7</v>
      </c>
    </row>
    <row r="267" spans="1:17" x14ac:dyDescent="0.25">
      <c r="A267" s="18" t="s">
        <v>59</v>
      </c>
      <c r="B267" s="18">
        <v>1930</v>
      </c>
      <c r="C267" s="18" t="s">
        <v>856</v>
      </c>
      <c r="D267" s="18" t="s">
        <v>878</v>
      </c>
      <c r="E267" s="18" t="s">
        <v>879</v>
      </c>
      <c r="F267" s="18" t="s">
        <v>145</v>
      </c>
      <c r="G267" s="18" t="s">
        <v>875</v>
      </c>
      <c r="H267" s="18">
        <v>54</v>
      </c>
      <c r="I267" s="18" t="s">
        <v>162</v>
      </c>
      <c r="J267" s="18"/>
      <c r="K267" s="18"/>
      <c r="L267" s="18"/>
      <c r="M267" s="18"/>
      <c r="N267" s="18"/>
      <c r="O267" s="18" t="s">
        <v>163</v>
      </c>
      <c r="P267" s="18"/>
      <c r="Q267" s="18" t="str">
        <f>IFERROR(MATCH(K267,Niveles!$B$2:$B$10,0),"")</f>
        <v/>
      </c>
    </row>
    <row r="268" spans="1:17" x14ac:dyDescent="0.25">
      <c r="A268" s="18" t="s">
        <v>59</v>
      </c>
      <c r="B268" s="18">
        <v>1930</v>
      </c>
      <c r="C268" s="18" t="s">
        <v>856</v>
      </c>
      <c r="D268" s="18" t="s">
        <v>880</v>
      </c>
      <c r="E268" s="18" t="s">
        <v>881</v>
      </c>
      <c r="F268" s="18" t="s">
        <v>145</v>
      </c>
      <c r="G268" s="18" t="s">
        <v>882</v>
      </c>
      <c r="H268" s="18">
        <v>55</v>
      </c>
      <c r="I268" s="18" t="s">
        <v>238</v>
      </c>
      <c r="J268" s="18" t="s">
        <v>859</v>
      </c>
      <c r="K268" s="18" t="s">
        <v>125</v>
      </c>
      <c r="L268" s="18" t="s">
        <v>254</v>
      </c>
      <c r="M268" s="18" t="s">
        <v>255</v>
      </c>
      <c r="N268" s="18" t="s">
        <v>162</v>
      </c>
      <c r="O268" s="18" t="s">
        <v>163</v>
      </c>
      <c r="P268" s="18"/>
      <c r="Q268" s="18">
        <f>IFERROR(MATCH(K268,Niveles!$B$2:$B$10,0),"")</f>
        <v>3</v>
      </c>
    </row>
    <row r="269" spans="1:17" x14ac:dyDescent="0.25">
      <c r="A269" s="18" t="s">
        <v>59</v>
      </c>
      <c r="B269" s="18">
        <v>1930</v>
      </c>
      <c r="C269" s="18" t="s">
        <v>856</v>
      </c>
      <c r="D269" s="18" t="s">
        <v>383</v>
      </c>
      <c r="E269" s="18" t="s">
        <v>883</v>
      </c>
      <c r="F269" s="18" t="s">
        <v>145</v>
      </c>
      <c r="G269" s="18" t="s">
        <v>884</v>
      </c>
      <c r="H269" s="18">
        <v>60</v>
      </c>
      <c r="I269" s="18" t="s">
        <v>238</v>
      </c>
      <c r="J269" s="18" t="s">
        <v>859</v>
      </c>
      <c r="K269" s="18" t="s">
        <v>885</v>
      </c>
      <c r="L269" s="18" t="s">
        <v>254</v>
      </c>
      <c r="M269" s="18" t="s">
        <v>255</v>
      </c>
      <c r="N269" s="18" t="s">
        <v>162</v>
      </c>
      <c r="O269" s="18" t="s">
        <v>163</v>
      </c>
      <c r="P269" s="18"/>
      <c r="Q269" s="18">
        <f>IFERROR(MATCH(K269,Niveles!$B$2:$B$10,0),"")</f>
        <v>1</v>
      </c>
    </row>
    <row r="270" spans="1:17" x14ac:dyDescent="0.25">
      <c r="A270" s="18" t="s">
        <v>59</v>
      </c>
      <c r="B270" s="18">
        <v>1930</v>
      </c>
      <c r="C270" s="18" t="s">
        <v>856</v>
      </c>
      <c r="D270" s="18" t="s">
        <v>886</v>
      </c>
      <c r="E270" s="18" t="s">
        <v>887</v>
      </c>
      <c r="F270" s="18" t="s">
        <v>145</v>
      </c>
      <c r="G270" s="18" t="s">
        <v>888</v>
      </c>
      <c r="H270" s="18">
        <v>295</v>
      </c>
      <c r="I270" s="18" t="s">
        <v>238</v>
      </c>
      <c r="J270" s="18"/>
      <c r="K270" s="18"/>
      <c r="L270" s="18"/>
      <c r="M270" s="18"/>
      <c r="N270" s="18"/>
      <c r="O270" s="18" t="s">
        <v>163</v>
      </c>
      <c r="P270" s="18"/>
      <c r="Q270" s="18" t="str">
        <f>IFERROR(MATCH(K270,Niveles!$B$2:$B$10,0),"")</f>
        <v/>
      </c>
    </row>
    <row r="271" spans="1:17" x14ac:dyDescent="0.25">
      <c r="A271" s="18" t="s">
        <v>59</v>
      </c>
      <c r="B271" s="18">
        <v>1930</v>
      </c>
      <c r="C271" s="18" t="s">
        <v>889</v>
      </c>
      <c r="D271" s="18" t="s">
        <v>123</v>
      </c>
      <c r="E271" s="18" t="s">
        <v>890</v>
      </c>
      <c r="F271" s="18" t="s">
        <v>145</v>
      </c>
      <c r="G271" s="18" t="s">
        <v>772</v>
      </c>
      <c r="H271" s="18">
        <v>315</v>
      </c>
      <c r="I271" s="18" t="s">
        <v>162</v>
      </c>
      <c r="J271" s="18" t="s">
        <v>859</v>
      </c>
      <c r="K271" s="18" t="s">
        <v>106</v>
      </c>
      <c r="L271" s="18" t="s">
        <v>171</v>
      </c>
      <c r="M271" s="18" t="s">
        <v>255</v>
      </c>
      <c r="N271" s="18" t="s">
        <v>162</v>
      </c>
      <c r="O271" s="18" t="s">
        <v>175</v>
      </c>
      <c r="P271" s="18" t="s">
        <v>891</v>
      </c>
      <c r="Q271" s="18">
        <f>IFERROR(MATCH(K271,Niveles!$B$2:$B$10,0),"")</f>
        <v>7</v>
      </c>
    </row>
    <row r="272" spans="1:17" x14ac:dyDescent="0.25">
      <c r="A272" s="18" t="s">
        <v>59</v>
      </c>
      <c r="B272" s="18">
        <v>1930</v>
      </c>
      <c r="C272" s="18" t="s">
        <v>889</v>
      </c>
      <c r="D272" s="18"/>
      <c r="E272" s="18" t="s">
        <v>892</v>
      </c>
      <c r="F272" s="18" t="s">
        <v>145</v>
      </c>
      <c r="G272" s="18"/>
      <c r="H272" s="18">
        <v>337</v>
      </c>
      <c r="I272" s="18" t="s">
        <v>238</v>
      </c>
      <c r="J272" s="18" t="s">
        <v>859</v>
      </c>
      <c r="K272" s="18" t="s">
        <v>125</v>
      </c>
      <c r="L272" s="18" t="s">
        <v>171</v>
      </c>
      <c r="M272" s="18" t="s">
        <v>255</v>
      </c>
      <c r="N272" s="18" t="s">
        <v>162</v>
      </c>
      <c r="O272" s="18" t="s">
        <v>163</v>
      </c>
      <c r="P272" s="18" t="s">
        <v>893</v>
      </c>
      <c r="Q272" s="18">
        <f>IFERROR(MATCH(K272,Niveles!$B$2:$B$10,0),"")</f>
        <v>3</v>
      </c>
    </row>
    <row r="273" spans="1:17" x14ac:dyDescent="0.25">
      <c r="A273" s="18" t="s">
        <v>62</v>
      </c>
      <c r="B273" s="18">
        <v>1940</v>
      </c>
      <c r="C273" s="18"/>
      <c r="D273" s="18"/>
      <c r="E273" s="18" t="s">
        <v>894</v>
      </c>
      <c r="F273" s="18" t="s">
        <v>161</v>
      </c>
      <c r="G273" s="18" t="s">
        <v>895</v>
      </c>
      <c r="H273" s="18"/>
      <c r="I273" s="18" t="s">
        <v>284</v>
      </c>
      <c r="J273" s="18"/>
      <c r="K273" s="18"/>
      <c r="L273" s="18"/>
      <c r="M273" s="18"/>
      <c r="N273" s="18"/>
      <c r="O273" s="18" t="s">
        <v>163</v>
      </c>
      <c r="P273" s="18"/>
      <c r="Q273" s="18" t="str">
        <f>IFERROR(MATCH(K273,Niveles!$B$2:$B$10,0),"")</f>
        <v/>
      </c>
    </row>
    <row r="274" spans="1:17" x14ac:dyDescent="0.25">
      <c r="A274" s="18" t="s">
        <v>62</v>
      </c>
      <c r="B274" s="18">
        <v>1940</v>
      </c>
      <c r="C274" s="18"/>
      <c r="D274" s="18"/>
      <c r="E274" s="18" t="s">
        <v>757</v>
      </c>
      <c r="F274" s="18" t="s">
        <v>161</v>
      </c>
      <c r="G274" s="18" t="s">
        <v>896</v>
      </c>
      <c r="H274" s="18"/>
      <c r="I274" s="18" t="s">
        <v>284</v>
      </c>
      <c r="J274" s="18"/>
      <c r="K274" s="18"/>
      <c r="L274" s="18"/>
      <c r="M274" s="18"/>
      <c r="N274" s="18"/>
      <c r="O274" s="18" t="s">
        <v>163</v>
      </c>
      <c r="P274" s="18"/>
      <c r="Q274" s="18" t="str">
        <f>IFERROR(MATCH(K274,Niveles!$B$2:$B$10,0),"")</f>
        <v/>
      </c>
    </row>
    <row r="275" spans="1:17" x14ac:dyDescent="0.25">
      <c r="A275" s="18" t="s">
        <v>62</v>
      </c>
      <c r="B275" s="18">
        <v>1940</v>
      </c>
      <c r="C275" s="18" t="s">
        <v>425</v>
      </c>
      <c r="D275" s="18"/>
      <c r="E275" s="18" t="s">
        <v>897</v>
      </c>
      <c r="F275" s="18" t="s">
        <v>145</v>
      </c>
      <c r="G275" s="18" t="s">
        <v>112</v>
      </c>
      <c r="H275" s="18">
        <v>7</v>
      </c>
      <c r="I275" s="18" t="s">
        <v>162</v>
      </c>
      <c r="J275" s="18" t="s">
        <v>898</v>
      </c>
      <c r="K275" s="18" t="s">
        <v>125</v>
      </c>
      <c r="L275" s="18"/>
      <c r="M275" s="18" t="s">
        <v>255</v>
      </c>
      <c r="N275" s="18" t="s">
        <v>162</v>
      </c>
      <c r="O275" s="18" t="s">
        <v>163</v>
      </c>
      <c r="P275" s="18"/>
      <c r="Q275" s="18">
        <f>IFERROR(MATCH(K275,Niveles!$B$2:$B$10,0),"")</f>
        <v>3</v>
      </c>
    </row>
    <row r="276" spans="1:17" x14ac:dyDescent="0.25">
      <c r="A276" s="18" t="s">
        <v>62</v>
      </c>
      <c r="B276" s="18">
        <v>1940</v>
      </c>
      <c r="C276" s="18" t="s">
        <v>425</v>
      </c>
      <c r="D276" s="18"/>
      <c r="E276" s="18" t="s">
        <v>899</v>
      </c>
      <c r="F276" s="18" t="s">
        <v>145</v>
      </c>
      <c r="G276" s="18" t="s">
        <v>118</v>
      </c>
      <c r="H276" s="18">
        <v>13</v>
      </c>
      <c r="I276" s="18" t="s">
        <v>238</v>
      </c>
      <c r="J276" s="18" t="s">
        <v>900</v>
      </c>
      <c r="K276" s="18" t="s">
        <v>125</v>
      </c>
      <c r="L276" s="18"/>
      <c r="M276" s="18" t="s">
        <v>255</v>
      </c>
      <c r="N276" s="18" t="s">
        <v>341</v>
      </c>
      <c r="O276" s="18" t="s">
        <v>163</v>
      </c>
      <c r="P276" s="18"/>
      <c r="Q276" s="18">
        <f>IFERROR(MATCH(K276,Niveles!$B$2:$B$10,0),"")</f>
        <v>3</v>
      </c>
    </row>
    <row r="277" spans="1:17" x14ac:dyDescent="0.25">
      <c r="A277" s="18" t="s">
        <v>62</v>
      </c>
      <c r="B277" s="18">
        <v>1940</v>
      </c>
      <c r="C277" s="18" t="s">
        <v>425</v>
      </c>
      <c r="D277" s="18"/>
      <c r="E277" s="18" t="s">
        <v>901</v>
      </c>
      <c r="F277" s="18" t="s">
        <v>145</v>
      </c>
      <c r="G277" s="18" t="s">
        <v>772</v>
      </c>
      <c r="H277" s="18">
        <v>14</v>
      </c>
      <c r="I277" s="18" t="s">
        <v>238</v>
      </c>
      <c r="J277" s="18" t="s">
        <v>900</v>
      </c>
      <c r="K277" s="18" t="s">
        <v>106</v>
      </c>
      <c r="L277" s="18" t="s">
        <v>171</v>
      </c>
      <c r="M277" s="18" t="s">
        <v>255</v>
      </c>
      <c r="N277" s="18" t="s">
        <v>162</v>
      </c>
      <c r="O277" s="18" t="s">
        <v>163</v>
      </c>
      <c r="P277" s="18"/>
      <c r="Q277" s="18">
        <f>IFERROR(MATCH(K277,Niveles!$B$2:$B$10,0),"")</f>
        <v>7</v>
      </c>
    </row>
    <row r="278" spans="1:17" x14ac:dyDescent="0.25">
      <c r="A278" s="18" t="s">
        <v>62</v>
      </c>
      <c r="B278" s="18">
        <v>1940</v>
      </c>
      <c r="C278" s="18" t="s">
        <v>902</v>
      </c>
      <c r="D278" s="18"/>
      <c r="E278" s="18" t="s">
        <v>903</v>
      </c>
      <c r="F278" s="18" t="s">
        <v>145</v>
      </c>
      <c r="G278" s="18" t="s">
        <v>880</v>
      </c>
      <c r="H278" s="18">
        <v>18</v>
      </c>
      <c r="I278" s="18" t="s">
        <v>238</v>
      </c>
      <c r="J278" s="18"/>
      <c r="K278" s="18"/>
      <c r="L278" s="18"/>
      <c r="M278" s="18"/>
      <c r="N278" s="18"/>
      <c r="O278" s="18" t="s">
        <v>163</v>
      </c>
      <c r="P278" s="18"/>
      <c r="Q278" s="18" t="str">
        <f>IFERROR(MATCH(K278,Niveles!$B$2:$B$10,0),"")</f>
        <v/>
      </c>
    </row>
    <row r="279" spans="1:17" x14ac:dyDescent="0.25">
      <c r="A279" s="18" t="s">
        <v>62</v>
      </c>
      <c r="B279" s="18">
        <v>1940</v>
      </c>
      <c r="C279" s="18" t="s">
        <v>902</v>
      </c>
      <c r="D279" s="18"/>
      <c r="E279" s="18" t="s">
        <v>904</v>
      </c>
      <c r="F279" s="18" t="s">
        <v>145</v>
      </c>
      <c r="G279" s="18" t="s">
        <v>886</v>
      </c>
      <c r="H279" s="18">
        <v>20</v>
      </c>
      <c r="I279" s="18" t="s">
        <v>238</v>
      </c>
      <c r="J279" s="18"/>
      <c r="K279" s="18"/>
      <c r="L279" s="18"/>
      <c r="M279" s="18"/>
      <c r="N279" s="18"/>
      <c r="O279" s="18" t="s">
        <v>163</v>
      </c>
      <c r="P279" s="18"/>
      <c r="Q279" s="18" t="str">
        <f>IFERROR(MATCH(K279,Niveles!$B$2:$B$10,0),"")</f>
        <v/>
      </c>
    </row>
    <row r="280" spans="1:17" x14ac:dyDescent="0.25">
      <c r="A280" s="18" t="s">
        <v>62</v>
      </c>
      <c r="B280" s="18">
        <v>1940</v>
      </c>
      <c r="C280" s="18" t="s">
        <v>902</v>
      </c>
      <c r="D280" s="18"/>
      <c r="E280" s="18" t="s">
        <v>905</v>
      </c>
      <c r="F280" s="18" t="s">
        <v>145</v>
      </c>
      <c r="G280" s="18" t="s">
        <v>840</v>
      </c>
      <c r="H280" s="18">
        <v>21</v>
      </c>
      <c r="I280" s="18" t="s">
        <v>238</v>
      </c>
      <c r="J280" s="18"/>
      <c r="K280" s="18"/>
      <c r="L280" s="18"/>
      <c r="M280" s="18"/>
      <c r="N280" s="18"/>
      <c r="O280" s="18" t="s">
        <v>163</v>
      </c>
      <c r="P280" s="18"/>
      <c r="Q280" s="18" t="str">
        <f>IFERROR(MATCH(K280,Niveles!$B$2:$B$10,0),"")</f>
        <v/>
      </c>
    </row>
    <row r="281" spans="1:17" x14ac:dyDescent="0.25">
      <c r="A281" s="18" t="s">
        <v>62</v>
      </c>
      <c r="B281" s="18">
        <v>1940</v>
      </c>
      <c r="C281" s="18" t="s">
        <v>902</v>
      </c>
      <c r="D281" s="18"/>
      <c r="E281" s="18" t="s">
        <v>906</v>
      </c>
      <c r="F281" s="18" t="s">
        <v>145</v>
      </c>
      <c r="G281" s="18" t="s">
        <v>843</v>
      </c>
      <c r="H281" s="18">
        <v>22</v>
      </c>
      <c r="I281" s="18" t="s">
        <v>238</v>
      </c>
      <c r="J281" s="18"/>
      <c r="K281" s="18"/>
      <c r="L281" s="18"/>
      <c r="M281" s="18"/>
      <c r="N281" s="18"/>
      <c r="O281" s="18" t="s">
        <v>163</v>
      </c>
      <c r="P281" s="18"/>
      <c r="Q281" s="18" t="str">
        <f>IFERROR(MATCH(K281,Niveles!$B$2:$B$10,0),"")</f>
        <v/>
      </c>
    </row>
    <row r="282" spans="1:17" x14ac:dyDescent="0.25">
      <c r="A282" s="18" t="s">
        <v>62</v>
      </c>
      <c r="B282" s="18">
        <v>1940</v>
      </c>
      <c r="C282" s="18" t="s">
        <v>902</v>
      </c>
      <c r="D282" s="18"/>
      <c r="E282" s="18" t="s">
        <v>907</v>
      </c>
      <c r="F282" s="18" t="s">
        <v>145</v>
      </c>
      <c r="G282" s="18" t="s">
        <v>247</v>
      </c>
      <c r="H282" s="18">
        <v>24</v>
      </c>
      <c r="I282" s="18" t="s">
        <v>238</v>
      </c>
      <c r="J282" s="18"/>
      <c r="K282" s="18"/>
      <c r="L282" s="18"/>
      <c r="M282" s="18"/>
      <c r="N282" s="18"/>
      <c r="O282" s="18" t="s">
        <v>163</v>
      </c>
      <c r="P282" s="18"/>
      <c r="Q282" s="18" t="str">
        <f>IFERROR(MATCH(K282,Niveles!$B$2:$B$10,0),"")</f>
        <v/>
      </c>
    </row>
    <row r="283" spans="1:17" x14ac:dyDescent="0.25">
      <c r="A283" s="18" t="s">
        <v>62</v>
      </c>
      <c r="B283" s="18">
        <v>1940</v>
      </c>
      <c r="C283" s="18" t="s">
        <v>902</v>
      </c>
      <c r="D283" s="18"/>
      <c r="E283" s="18" t="s">
        <v>908</v>
      </c>
      <c r="F283" s="18" t="s">
        <v>145</v>
      </c>
      <c r="G283" s="18" t="s">
        <v>909</v>
      </c>
      <c r="H283" s="18">
        <v>27</v>
      </c>
      <c r="I283" s="18" t="s">
        <v>238</v>
      </c>
      <c r="J283" s="18"/>
      <c r="K283" s="18"/>
      <c r="L283" s="18"/>
      <c r="M283" s="18"/>
      <c r="N283" s="18"/>
      <c r="O283" s="18" t="s">
        <v>163</v>
      </c>
      <c r="P283" s="18"/>
      <c r="Q283" s="18" t="str">
        <f>IFERROR(MATCH(K283,Niveles!$B$2:$B$10,0),"")</f>
        <v/>
      </c>
    </row>
    <row r="284" spans="1:17" x14ac:dyDescent="0.25">
      <c r="A284" s="18" t="s">
        <v>62</v>
      </c>
      <c r="B284" s="18">
        <v>1940</v>
      </c>
      <c r="C284" s="18" t="s">
        <v>902</v>
      </c>
      <c r="D284" s="18"/>
      <c r="E284" s="18" t="s">
        <v>910</v>
      </c>
      <c r="F284" s="18" t="s">
        <v>145</v>
      </c>
      <c r="G284" s="18" t="s">
        <v>911</v>
      </c>
      <c r="H284" s="18">
        <v>79</v>
      </c>
      <c r="I284" s="18" t="s">
        <v>238</v>
      </c>
      <c r="J284" s="18"/>
      <c r="K284" s="18"/>
      <c r="L284" s="18"/>
      <c r="M284" s="18"/>
      <c r="N284" s="18"/>
      <c r="O284" s="18" t="s">
        <v>163</v>
      </c>
      <c r="P284" s="18"/>
      <c r="Q284" s="18" t="str">
        <f>IFERROR(MATCH(K284,Niveles!$B$2:$B$10,0),"")</f>
        <v/>
      </c>
    </row>
    <row r="285" spans="1:17" x14ac:dyDescent="0.25">
      <c r="A285" s="18" t="s">
        <v>62</v>
      </c>
      <c r="B285" s="18">
        <v>1940</v>
      </c>
      <c r="C285" s="18" t="s">
        <v>912</v>
      </c>
      <c r="D285" s="18"/>
      <c r="E285" s="18" t="s">
        <v>913</v>
      </c>
      <c r="F285" s="18" t="s">
        <v>145</v>
      </c>
      <c r="G285" s="18" t="s">
        <v>914</v>
      </c>
      <c r="H285" s="18">
        <v>80</v>
      </c>
      <c r="I285" s="18" t="s">
        <v>162</v>
      </c>
      <c r="J285" s="18"/>
      <c r="K285" s="18"/>
      <c r="L285" s="18"/>
      <c r="M285" s="18"/>
      <c r="N285" s="18"/>
      <c r="O285" s="18" t="s">
        <v>163</v>
      </c>
      <c r="P285" s="18"/>
      <c r="Q285" s="18" t="str">
        <f>IFERROR(MATCH(K285,Niveles!$B$2:$B$10,0),"")</f>
        <v/>
      </c>
    </row>
    <row r="286" spans="1:17" x14ac:dyDescent="0.25">
      <c r="A286" s="18" t="s">
        <v>62</v>
      </c>
      <c r="B286" s="18">
        <v>1940</v>
      </c>
      <c r="C286" s="18" t="s">
        <v>912</v>
      </c>
      <c r="D286" s="18"/>
      <c r="E286" s="18" t="s">
        <v>915</v>
      </c>
      <c r="F286" s="18" t="s">
        <v>145</v>
      </c>
      <c r="G286" s="18" t="s">
        <v>916</v>
      </c>
      <c r="H286" s="18">
        <v>82</v>
      </c>
      <c r="I286" s="18" t="s">
        <v>162</v>
      </c>
      <c r="J286" s="18" t="s">
        <v>900</v>
      </c>
      <c r="K286" s="18" t="s">
        <v>103</v>
      </c>
      <c r="L286" s="18" t="s">
        <v>663</v>
      </c>
      <c r="M286" s="18" t="s">
        <v>255</v>
      </c>
      <c r="N286" s="18" t="s">
        <v>162</v>
      </c>
      <c r="O286" s="18" t="s">
        <v>175</v>
      </c>
      <c r="P286" s="18" t="s">
        <v>917</v>
      </c>
      <c r="Q286" s="18">
        <f>IFERROR(MATCH(K286,Niveles!$B$2:$B$10,0),"")</f>
        <v>2</v>
      </c>
    </row>
    <row r="287" spans="1:17" x14ac:dyDescent="0.25">
      <c r="A287" s="18" t="s">
        <v>62</v>
      </c>
      <c r="B287" s="18">
        <v>1940</v>
      </c>
      <c r="C287" s="18" t="s">
        <v>918</v>
      </c>
      <c r="D287" s="18"/>
      <c r="E287" s="18" t="s">
        <v>919</v>
      </c>
      <c r="F287" s="18" t="s">
        <v>145</v>
      </c>
      <c r="G287" s="18" t="s">
        <v>920</v>
      </c>
      <c r="H287" s="18">
        <v>122</v>
      </c>
      <c r="I287" s="18" t="s">
        <v>238</v>
      </c>
      <c r="J287" s="18"/>
      <c r="K287" s="18"/>
      <c r="L287" s="18"/>
      <c r="M287" s="18"/>
      <c r="N287" s="18"/>
      <c r="O287" s="18" t="s">
        <v>163</v>
      </c>
      <c r="P287" s="18"/>
      <c r="Q287" s="18" t="str">
        <f>IFERROR(MATCH(K287,Niveles!$B$2:$B$10,0),"")</f>
        <v/>
      </c>
    </row>
    <row r="288" spans="1:17" x14ac:dyDescent="0.25">
      <c r="A288" s="18" t="s">
        <v>62</v>
      </c>
      <c r="B288" s="18">
        <v>1940</v>
      </c>
      <c r="C288" s="18" t="s">
        <v>918</v>
      </c>
      <c r="D288" s="18"/>
      <c r="E288" s="18" t="s">
        <v>921</v>
      </c>
      <c r="F288" s="18" t="s">
        <v>145</v>
      </c>
      <c r="G288" s="18" t="s">
        <v>922</v>
      </c>
      <c r="H288" s="18">
        <v>123</v>
      </c>
      <c r="I288" s="18" t="s">
        <v>238</v>
      </c>
      <c r="J288" s="18"/>
      <c r="K288" s="18"/>
      <c r="L288" s="18"/>
      <c r="M288" s="18"/>
      <c r="N288" s="18"/>
      <c r="O288" s="18" t="s">
        <v>163</v>
      </c>
      <c r="P288" s="18"/>
      <c r="Q288" s="18" t="str">
        <f>IFERROR(MATCH(K288,Niveles!$B$2:$B$10,0),"")</f>
        <v/>
      </c>
    </row>
    <row r="289" spans="1:17" x14ac:dyDescent="0.25">
      <c r="A289" s="18" t="s">
        <v>62</v>
      </c>
      <c r="B289" s="18">
        <v>1940</v>
      </c>
      <c r="C289" s="18" t="s">
        <v>918</v>
      </c>
      <c r="D289" s="18"/>
      <c r="E289" s="18" t="s">
        <v>923</v>
      </c>
      <c r="F289" s="18" t="s">
        <v>145</v>
      </c>
      <c r="G289" s="18" t="s">
        <v>924</v>
      </c>
      <c r="H289" s="18">
        <v>127</v>
      </c>
      <c r="I289" s="18" t="s">
        <v>238</v>
      </c>
      <c r="J289" s="18"/>
      <c r="K289" s="18"/>
      <c r="L289" s="18"/>
      <c r="M289" s="18"/>
      <c r="N289" s="18"/>
      <c r="O289" s="18" t="s">
        <v>163</v>
      </c>
      <c r="P289" s="18"/>
      <c r="Q289" s="18" t="str">
        <f>IFERROR(MATCH(K289,Niveles!$B$2:$B$10,0),"")</f>
        <v/>
      </c>
    </row>
    <row r="290" spans="1:17" x14ac:dyDescent="0.25">
      <c r="A290" s="18" t="s">
        <v>62</v>
      </c>
      <c r="B290" s="18">
        <v>1940</v>
      </c>
      <c r="C290" s="18" t="s">
        <v>918</v>
      </c>
      <c r="D290" s="18"/>
      <c r="E290" s="18" t="s">
        <v>925</v>
      </c>
      <c r="F290" s="18" t="s">
        <v>145</v>
      </c>
      <c r="G290" s="18" t="s">
        <v>926</v>
      </c>
      <c r="H290" s="18">
        <v>145</v>
      </c>
      <c r="I290" s="18" t="s">
        <v>238</v>
      </c>
      <c r="J290" s="18"/>
      <c r="K290" s="18"/>
      <c r="L290" s="18"/>
      <c r="M290" s="18"/>
      <c r="N290" s="18"/>
      <c r="O290" s="18" t="s">
        <v>163</v>
      </c>
      <c r="P290" s="18"/>
      <c r="Q290" s="18" t="str">
        <f>IFERROR(MATCH(K290,Niveles!$B$2:$B$10,0),"")</f>
        <v/>
      </c>
    </row>
    <row r="291" spans="1:17" x14ac:dyDescent="0.25">
      <c r="A291" s="18" t="s">
        <v>62</v>
      </c>
      <c r="B291" s="18">
        <v>1940</v>
      </c>
      <c r="C291" s="18" t="s">
        <v>918</v>
      </c>
      <c r="D291" s="18"/>
      <c r="E291" s="18" t="s">
        <v>927</v>
      </c>
      <c r="F291" s="18" t="s">
        <v>145</v>
      </c>
      <c r="G291" s="18" t="s">
        <v>928</v>
      </c>
      <c r="H291" s="18">
        <v>206</v>
      </c>
      <c r="I291" s="18" t="s">
        <v>238</v>
      </c>
      <c r="J291" s="18"/>
      <c r="K291" s="18"/>
      <c r="L291" s="18"/>
      <c r="M291" s="18"/>
      <c r="N291" s="18"/>
      <c r="O291" s="18" t="s">
        <v>163</v>
      </c>
      <c r="P291" s="18"/>
      <c r="Q291" s="18" t="str">
        <f>IFERROR(MATCH(K291,Niveles!$B$2:$B$10,0),"")</f>
        <v/>
      </c>
    </row>
    <row r="292" spans="1:17" x14ac:dyDescent="0.25">
      <c r="A292" s="18" t="s">
        <v>62</v>
      </c>
      <c r="B292" s="18">
        <v>1940</v>
      </c>
      <c r="C292" s="18" t="s">
        <v>918</v>
      </c>
      <c r="D292" s="18"/>
      <c r="E292" s="18" t="s">
        <v>929</v>
      </c>
      <c r="F292" s="18" t="s">
        <v>145</v>
      </c>
      <c r="G292" s="18" t="s">
        <v>930</v>
      </c>
      <c r="H292" s="18">
        <v>208</v>
      </c>
      <c r="I292" s="18" t="s">
        <v>238</v>
      </c>
      <c r="J292" s="18"/>
      <c r="K292" s="18"/>
      <c r="L292" s="18"/>
      <c r="M292" s="18"/>
      <c r="N292" s="18"/>
      <c r="O292" s="18" t="s">
        <v>163</v>
      </c>
      <c r="P292" s="18"/>
      <c r="Q292" s="18" t="str">
        <f>IFERROR(MATCH(K292,Niveles!$B$2:$B$10,0),"")</f>
        <v/>
      </c>
    </row>
    <row r="293" spans="1:17" x14ac:dyDescent="0.25">
      <c r="A293" s="18" t="s">
        <v>62</v>
      </c>
      <c r="B293" s="18">
        <v>1940</v>
      </c>
      <c r="C293" s="18"/>
      <c r="D293" s="18"/>
      <c r="E293" s="18" t="s">
        <v>931</v>
      </c>
      <c r="F293" s="18" t="s">
        <v>145</v>
      </c>
      <c r="G293" s="18" t="s">
        <v>337</v>
      </c>
      <c r="H293" s="18">
        <v>327</v>
      </c>
      <c r="I293" s="18" t="s">
        <v>238</v>
      </c>
      <c r="J293" s="18"/>
      <c r="K293" s="18"/>
      <c r="L293" s="18"/>
      <c r="M293" s="18"/>
      <c r="N293" s="18"/>
      <c r="O293" s="18" t="s">
        <v>163</v>
      </c>
      <c r="P293" s="18"/>
      <c r="Q293" s="18" t="str">
        <f>IFERROR(MATCH(K293,Niveles!$B$2:$B$10,0),"")</f>
        <v/>
      </c>
    </row>
    <row r="294" spans="1:17" x14ac:dyDescent="0.25">
      <c r="A294" s="18" t="s">
        <v>62</v>
      </c>
      <c r="B294" s="18">
        <v>1940</v>
      </c>
      <c r="C294" s="18"/>
      <c r="D294" s="18"/>
      <c r="E294" s="18" t="s">
        <v>932</v>
      </c>
      <c r="F294" s="18" t="s">
        <v>145</v>
      </c>
      <c r="G294" s="18" t="s">
        <v>933</v>
      </c>
      <c r="H294" s="18">
        <v>336</v>
      </c>
      <c r="I294" s="18" t="s">
        <v>238</v>
      </c>
      <c r="J294" s="18"/>
      <c r="K294" s="18"/>
      <c r="L294" s="18"/>
      <c r="M294" s="18"/>
      <c r="N294" s="18"/>
      <c r="O294" s="18" t="s">
        <v>163</v>
      </c>
      <c r="P294" s="18"/>
      <c r="Q294" s="18" t="str">
        <f>IFERROR(MATCH(K294,Niveles!$B$2:$B$10,0),"")</f>
        <v/>
      </c>
    </row>
    <row r="295" spans="1:17" x14ac:dyDescent="0.25">
      <c r="A295" s="18" t="s">
        <v>62</v>
      </c>
      <c r="B295" s="18">
        <v>1940</v>
      </c>
      <c r="C295" s="18"/>
      <c r="D295" s="18"/>
      <c r="E295" s="18" t="s">
        <v>934</v>
      </c>
      <c r="F295" s="18" t="s">
        <v>145</v>
      </c>
      <c r="G295" s="18" t="s">
        <v>935</v>
      </c>
      <c r="H295" s="18">
        <v>338</v>
      </c>
      <c r="I295" s="18" t="s">
        <v>162</v>
      </c>
      <c r="J295" s="18" t="s">
        <v>900</v>
      </c>
      <c r="K295" s="18" t="s">
        <v>106</v>
      </c>
      <c r="L295" s="18" t="s">
        <v>171</v>
      </c>
      <c r="M295" s="18" t="s">
        <v>255</v>
      </c>
      <c r="N295" s="18" t="s">
        <v>162</v>
      </c>
      <c r="O295" s="18" t="s">
        <v>175</v>
      </c>
      <c r="P295" s="18" t="s">
        <v>936</v>
      </c>
      <c r="Q295" s="18">
        <f>IFERROR(MATCH(K295,Niveles!$B$2:$B$10,0),"")</f>
        <v>7</v>
      </c>
    </row>
    <row r="296" spans="1:17" x14ac:dyDescent="0.25">
      <c r="A296" s="18" t="s">
        <v>65</v>
      </c>
      <c r="B296" s="18">
        <v>1952</v>
      </c>
      <c r="C296" s="18" t="s">
        <v>937</v>
      </c>
      <c r="D296" s="18"/>
      <c r="E296" s="18" t="s">
        <v>938</v>
      </c>
      <c r="F296" s="18" t="s">
        <v>161</v>
      </c>
      <c r="G296" s="18" t="s">
        <v>113</v>
      </c>
      <c r="H296" s="18">
        <v>3</v>
      </c>
      <c r="I296" s="18" t="s">
        <v>238</v>
      </c>
      <c r="J296" s="18"/>
      <c r="K296" s="18"/>
      <c r="L296" s="18"/>
      <c r="M296" s="18"/>
      <c r="N296" s="18"/>
      <c r="O296" s="18" t="s">
        <v>163</v>
      </c>
      <c r="P296" s="18" t="s">
        <v>939</v>
      </c>
      <c r="Q296" s="18" t="str">
        <f>IFERROR(MATCH(K296,Niveles!$B$2:$B$10,0),"")</f>
        <v/>
      </c>
    </row>
    <row r="297" spans="1:17" x14ac:dyDescent="0.25">
      <c r="A297" s="18" t="s">
        <v>65</v>
      </c>
      <c r="B297" s="18">
        <v>1952</v>
      </c>
      <c r="C297" s="18" t="s">
        <v>937</v>
      </c>
      <c r="D297" s="18"/>
      <c r="E297" s="18" t="s">
        <v>940</v>
      </c>
      <c r="F297" s="18" t="s">
        <v>161</v>
      </c>
      <c r="G297" s="18" t="s">
        <v>115</v>
      </c>
      <c r="H297" s="18">
        <v>7</v>
      </c>
      <c r="I297" s="18" t="s">
        <v>238</v>
      </c>
      <c r="J297" s="18"/>
      <c r="K297" s="18"/>
      <c r="L297" s="18"/>
      <c r="M297" s="18"/>
      <c r="N297" s="18"/>
      <c r="O297" s="18" t="s">
        <v>163</v>
      </c>
      <c r="P297" s="18" t="s">
        <v>941</v>
      </c>
      <c r="Q297" s="18" t="str">
        <f>IFERROR(MATCH(K297,Niveles!$B$2:$B$10,0),"")</f>
        <v/>
      </c>
    </row>
    <row r="298" spans="1:17" x14ac:dyDescent="0.25">
      <c r="A298" s="18" t="s">
        <v>65</v>
      </c>
      <c r="B298" s="18">
        <v>1952</v>
      </c>
      <c r="C298" s="18" t="s">
        <v>937</v>
      </c>
      <c r="D298" s="18"/>
      <c r="E298" s="18" t="s">
        <v>942</v>
      </c>
      <c r="F298" s="18" t="s">
        <v>161</v>
      </c>
      <c r="G298" s="18" t="s">
        <v>878</v>
      </c>
      <c r="H298" s="18">
        <v>8</v>
      </c>
      <c r="I298" s="18" t="s">
        <v>238</v>
      </c>
      <c r="J298" s="18"/>
      <c r="K298" s="18"/>
      <c r="L298" s="18"/>
      <c r="M298" s="18"/>
      <c r="N298" s="18"/>
      <c r="O298" s="18" t="s">
        <v>163</v>
      </c>
      <c r="P298" s="18" t="s">
        <v>943</v>
      </c>
      <c r="Q298" s="18" t="str">
        <f>IFERROR(MATCH(K298,Niveles!$B$2:$B$10,0),"")</f>
        <v/>
      </c>
    </row>
    <row r="299" spans="1:17" x14ac:dyDescent="0.25">
      <c r="A299" s="18" t="s">
        <v>65</v>
      </c>
      <c r="B299" s="18">
        <v>1952</v>
      </c>
      <c r="C299" s="18" t="s">
        <v>944</v>
      </c>
      <c r="D299" s="18" t="s">
        <v>112</v>
      </c>
      <c r="E299" s="18" t="s">
        <v>945</v>
      </c>
      <c r="F299" s="18" t="s">
        <v>145</v>
      </c>
      <c r="G299" s="18" t="s">
        <v>946</v>
      </c>
      <c r="H299" s="18">
        <v>27</v>
      </c>
      <c r="I299" s="18" t="s">
        <v>238</v>
      </c>
      <c r="J299" s="18"/>
      <c r="K299" s="18"/>
      <c r="L299" s="18"/>
      <c r="M299" s="18"/>
      <c r="N299" s="18"/>
      <c r="O299" s="18" t="s">
        <v>163</v>
      </c>
      <c r="P299" s="18"/>
      <c r="Q299" s="18" t="str">
        <f>IFERROR(MATCH(K299,Niveles!$B$2:$B$10,0),"")</f>
        <v/>
      </c>
    </row>
    <row r="300" spans="1:17" x14ac:dyDescent="0.25">
      <c r="A300" s="18" t="s">
        <v>65</v>
      </c>
      <c r="B300" s="18">
        <v>1952</v>
      </c>
      <c r="C300" s="18" t="s">
        <v>944</v>
      </c>
      <c r="D300" s="18" t="s">
        <v>237</v>
      </c>
      <c r="E300" s="18" t="s">
        <v>947</v>
      </c>
      <c r="F300" s="18" t="s">
        <v>145</v>
      </c>
      <c r="G300" s="18" t="s">
        <v>948</v>
      </c>
      <c r="H300" s="18">
        <v>32</v>
      </c>
      <c r="I300" s="18" t="s">
        <v>162</v>
      </c>
      <c r="J300" s="18"/>
      <c r="K300" s="18"/>
      <c r="L300" s="18"/>
      <c r="M300" s="18"/>
      <c r="N300" s="18"/>
      <c r="O300" s="18" t="s">
        <v>163</v>
      </c>
      <c r="P300" s="18"/>
      <c r="Q300" s="18" t="str">
        <f>IFERROR(MATCH(K300,Niveles!$B$2:$B$10,0),"")</f>
        <v/>
      </c>
    </row>
    <row r="301" spans="1:17" x14ac:dyDescent="0.25">
      <c r="A301" s="18" t="s">
        <v>65</v>
      </c>
      <c r="B301" s="18">
        <v>1952</v>
      </c>
      <c r="C301" s="18" t="s">
        <v>944</v>
      </c>
      <c r="D301" s="18" t="s">
        <v>121</v>
      </c>
      <c r="E301" s="18" t="s">
        <v>949</v>
      </c>
      <c r="F301" s="18" t="s">
        <v>145</v>
      </c>
      <c r="G301" s="18" t="s">
        <v>950</v>
      </c>
      <c r="H301" s="18">
        <v>33</v>
      </c>
      <c r="I301" s="18" t="s">
        <v>162</v>
      </c>
      <c r="J301" s="18"/>
      <c r="K301" s="18"/>
      <c r="L301" s="18"/>
      <c r="M301" s="18"/>
      <c r="N301" s="18"/>
      <c r="O301" s="18" t="s">
        <v>163</v>
      </c>
      <c r="P301" s="18"/>
      <c r="Q301" s="18" t="str">
        <f>IFERROR(MATCH(K301,Niveles!$B$2:$B$10,0),"")</f>
        <v/>
      </c>
    </row>
    <row r="302" spans="1:17" x14ac:dyDescent="0.25">
      <c r="A302" s="18" t="s">
        <v>65</v>
      </c>
      <c r="B302" s="18">
        <v>1952</v>
      </c>
      <c r="C302" s="18" t="s">
        <v>944</v>
      </c>
      <c r="D302" s="18" t="s">
        <v>123</v>
      </c>
      <c r="E302" s="18" t="s">
        <v>951</v>
      </c>
      <c r="F302" s="18" t="s">
        <v>145</v>
      </c>
      <c r="G302" s="18" t="s">
        <v>952</v>
      </c>
      <c r="H302" s="18">
        <v>34</v>
      </c>
      <c r="I302" s="18" t="s">
        <v>162</v>
      </c>
      <c r="J302" s="18" t="s">
        <v>953</v>
      </c>
      <c r="K302" s="18" t="s">
        <v>106</v>
      </c>
      <c r="L302" s="18"/>
      <c r="M302" s="18" t="s">
        <v>255</v>
      </c>
      <c r="N302" s="18" t="s">
        <v>162</v>
      </c>
      <c r="O302" s="18" t="s">
        <v>163</v>
      </c>
      <c r="P302" s="18"/>
      <c r="Q302" s="18">
        <f>IFERROR(MATCH(K302,Niveles!$B$2:$B$10,0),"")</f>
        <v>7</v>
      </c>
    </row>
    <row r="303" spans="1:17" x14ac:dyDescent="0.25">
      <c r="A303" s="18" t="s">
        <v>65</v>
      </c>
      <c r="B303" s="18">
        <v>1952</v>
      </c>
      <c r="C303" s="18" t="s">
        <v>944</v>
      </c>
      <c r="D303" s="18" t="s">
        <v>113</v>
      </c>
      <c r="E303" s="18" t="s">
        <v>954</v>
      </c>
      <c r="F303" s="18" t="s">
        <v>145</v>
      </c>
      <c r="G303" s="18" t="s">
        <v>385</v>
      </c>
      <c r="H303" s="18">
        <v>35</v>
      </c>
      <c r="I303" s="18" t="s">
        <v>162</v>
      </c>
      <c r="J303" s="18" t="s">
        <v>955</v>
      </c>
      <c r="K303" s="18" t="s">
        <v>106</v>
      </c>
      <c r="L303" s="18" t="s">
        <v>254</v>
      </c>
      <c r="M303" s="18" t="s">
        <v>255</v>
      </c>
      <c r="N303" s="18" t="s">
        <v>162</v>
      </c>
      <c r="O303" s="18" t="s">
        <v>175</v>
      </c>
      <c r="P303" s="18" t="s">
        <v>956</v>
      </c>
      <c r="Q303" s="18">
        <f>IFERROR(MATCH(K303,Niveles!$B$2:$B$10,0),"")</f>
        <v>7</v>
      </c>
    </row>
    <row r="304" spans="1:17" x14ac:dyDescent="0.25">
      <c r="A304" s="18" t="s">
        <v>65</v>
      </c>
      <c r="B304" s="18">
        <v>1952</v>
      </c>
      <c r="C304" s="18" t="s">
        <v>944</v>
      </c>
      <c r="D304" s="18" t="s">
        <v>114</v>
      </c>
      <c r="E304" s="18" t="s">
        <v>957</v>
      </c>
      <c r="F304" s="18" t="s">
        <v>145</v>
      </c>
      <c r="G304" s="18" t="s">
        <v>858</v>
      </c>
      <c r="H304" s="18">
        <v>36</v>
      </c>
      <c r="I304" s="18" t="s">
        <v>162</v>
      </c>
      <c r="J304" s="18" t="s">
        <v>958</v>
      </c>
      <c r="K304" s="18" t="s">
        <v>106</v>
      </c>
      <c r="L304" s="18" t="s">
        <v>171</v>
      </c>
      <c r="M304" s="18" t="s">
        <v>255</v>
      </c>
      <c r="N304" s="18" t="s">
        <v>162</v>
      </c>
      <c r="O304" s="18" t="s">
        <v>175</v>
      </c>
      <c r="P304" s="18" t="s">
        <v>959</v>
      </c>
      <c r="Q304" s="18">
        <f>IFERROR(MATCH(K304,Niveles!$B$2:$B$10,0),"")</f>
        <v>7</v>
      </c>
    </row>
    <row r="305" spans="1:17" x14ac:dyDescent="0.25">
      <c r="A305" s="18" t="s">
        <v>65</v>
      </c>
      <c r="B305" s="18">
        <v>1952</v>
      </c>
      <c r="C305" s="18" t="s">
        <v>944</v>
      </c>
      <c r="D305" s="18" t="s">
        <v>118</v>
      </c>
      <c r="E305" s="18" t="s">
        <v>960</v>
      </c>
      <c r="F305" s="18" t="s">
        <v>145</v>
      </c>
      <c r="G305" s="18" t="s">
        <v>961</v>
      </c>
      <c r="H305" s="18">
        <v>39</v>
      </c>
      <c r="I305" s="18" t="s">
        <v>162</v>
      </c>
      <c r="J305" s="18" t="s">
        <v>962</v>
      </c>
      <c r="K305" s="18" t="s">
        <v>108</v>
      </c>
      <c r="L305" s="18" t="s">
        <v>963</v>
      </c>
      <c r="M305" s="18" t="s">
        <v>255</v>
      </c>
      <c r="N305" s="18" t="s">
        <v>162</v>
      </c>
      <c r="O305" s="18" t="s">
        <v>175</v>
      </c>
      <c r="P305" s="18" t="s">
        <v>964</v>
      </c>
      <c r="Q305" s="18">
        <f>IFERROR(MATCH(K305,Niveles!$B$2:$B$10,0),"")</f>
        <v>9</v>
      </c>
    </row>
    <row r="306" spans="1:17" x14ac:dyDescent="0.25">
      <c r="A306" s="18" t="s">
        <v>65</v>
      </c>
      <c r="B306" s="18">
        <v>1952</v>
      </c>
      <c r="C306" s="18" t="s">
        <v>944</v>
      </c>
      <c r="D306" s="18" t="s">
        <v>772</v>
      </c>
      <c r="E306" s="18" t="s">
        <v>965</v>
      </c>
      <c r="F306" s="18" t="s">
        <v>145</v>
      </c>
      <c r="G306" s="18" t="s">
        <v>961</v>
      </c>
      <c r="H306" s="18">
        <v>39</v>
      </c>
      <c r="I306" s="18" t="s">
        <v>162</v>
      </c>
      <c r="J306" s="18"/>
      <c r="K306" s="18"/>
      <c r="L306" s="18"/>
      <c r="M306" s="18"/>
      <c r="N306" s="18"/>
      <c r="O306" s="18" t="s">
        <v>163</v>
      </c>
      <c r="P306" s="18"/>
      <c r="Q306" s="18" t="str">
        <f>IFERROR(MATCH(K306,Niveles!$B$2:$B$10,0),"")</f>
        <v/>
      </c>
    </row>
    <row r="307" spans="1:17" x14ac:dyDescent="0.25">
      <c r="A307" s="18" t="s">
        <v>65</v>
      </c>
      <c r="B307" s="18">
        <v>1952</v>
      </c>
      <c r="C307" s="18" t="s">
        <v>944</v>
      </c>
      <c r="D307" s="18" t="s">
        <v>115</v>
      </c>
      <c r="E307" s="18" t="s">
        <v>966</v>
      </c>
      <c r="F307" s="18" t="s">
        <v>145</v>
      </c>
      <c r="G307" s="18" t="s">
        <v>967</v>
      </c>
      <c r="H307" s="18">
        <v>40</v>
      </c>
      <c r="I307" s="18" t="s">
        <v>162</v>
      </c>
      <c r="J307" s="18" t="s">
        <v>955</v>
      </c>
      <c r="K307" s="18" t="s">
        <v>106</v>
      </c>
      <c r="L307" s="18" t="s">
        <v>429</v>
      </c>
      <c r="M307" s="18" t="s">
        <v>255</v>
      </c>
      <c r="N307" s="18" t="s">
        <v>162</v>
      </c>
      <c r="O307" s="18" t="s">
        <v>175</v>
      </c>
      <c r="P307" s="18" t="s">
        <v>968</v>
      </c>
      <c r="Q307" s="18">
        <f>IFERROR(MATCH(K307,Niveles!$B$2:$B$10,0),"")</f>
        <v>7</v>
      </c>
    </row>
    <row r="308" spans="1:17" x14ac:dyDescent="0.25">
      <c r="A308" s="18" t="s">
        <v>65</v>
      </c>
      <c r="B308" s="18">
        <v>1952</v>
      </c>
      <c r="C308" s="18" t="s">
        <v>944</v>
      </c>
      <c r="D308" s="18" t="s">
        <v>122</v>
      </c>
      <c r="E308" s="18" t="s">
        <v>969</v>
      </c>
      <c r="F308" s="18" t="s">
        <v>145</v>
      </c>
      <c r="G308" s="18" t="s">
        <v>301</v>
      </c>
      <c r="H308" s="18">
        <v>42</v>
      </c>
      <c r="I308" s="18" t="s">
        <v>162</v>
      </c>
      <c r="J308" s="18"/>
      <c r="K308" s="18"/>
      <c r="L308" s="18"/>
      <c r="M308" s="18"/>
      <c r="N308" s="18"/>
      <c r="O308" s="18" t="s">
        <v>163</v>
      </c>
      <c r="P308" s="18" t="s">
        <v>970</v>
      </c>
      <c r="Q308" s="18" t="str">
        <f>IFERROR(MATCH(K308,Niveles!$B$2:$B$10,0),"")</f>
        <v/>
      </c>
    </row>
    <row r="309" spans="1:17" x14ac:dyDescent="0.25">
      <c r="A309" s="18" t="s">
        <v>65</v>
      </c>
      <c r="B309" s="18">
        <v>1952</v>
      </c>
      <c r="C309" s="18" t="s">
        <v>971</v>
      </c>
      <c r="D309" s="18"/>
      <c r="E309" s="18" t="s">
        <v>972</v>
      </c>
      <c r="F309" s="18" t="s">
        <v>161</v>
      </c>
      <c r="G309" s="18" t="s">
        <v>865</v>
      </c>
      <c r="H309" s="18">
        <v>43</v>
      </c>
      <c r="I309" s="18" t="s">
        <v>162</v>
      </c>
      <c r="J309" s="18"/>
      <c r="K309" s="18"/>
      <c r="L309" s="18"/>
      <c r="M309" s="18"/>
      <c r="N309" s="18"/>
      <c r="O309" s="18" t="s">
        <v>163</v>
      </c>
      <c r="P309" s="18" t="s">
        <v>973</v>
      </c>
      <c r="Q309" s="18" t="str">
        <f>IFERROR(MATCH(K309,Niveles!$B$2:$B$10,0),"")</f>
        <v/>
      </c>
    </row>
    <row r="310" spans="1:17" x14ac:dyDescent="0.25">
      <c r="A310" s="18" t="s">
        <v>65</v>
      </c>
      <c r="B310" s="18">
        <v>1952</v>
      </c>
      <c r="C310" s="18" t="s">
        <v>974</v>
      </c>
      <c r="D310" s="18"/>
      <c r="E310" s="18" t="s">
        <v>975</v>
      </c>
      <c r="F310" s="18" t="s">
        <v>161</v>
      </c>
      <c r="G310" s="18" t="s">
        <v>389</v>
      </c>
      <c r="H310" s="18"/>
      <c r="I310" s="18" t="s">
        <v>976</v>
      </c>
      <c r="J310" s="18"/>
      <c r="K310" s="18"/>
      <c r="L310" s="18"/>
      <c r="M310" s="18"/>
      <c r="N310" s="18"/>
      <c r="O310" s="18" t="s">
        <v>163</v>
      </c>
      <c r="P310" s="18" t="s">
        <v>977</v>
      </c>
      <c r="Q310" s="18" t="str">
        <f>IFERROR(MATCH(K310,Niveles!$B$2:$B$10,0),"")</f>
        <v/>
      </c>
    </row>
    <row r="311" spans="1:17" x14ac:dyDescent="0.25">
      <c r="A311" s="18" t="s">
        <v>130</v>
      </c>
      <c r="B311" s="18">
        <v>1952</v>
      </c>
      <c r="C311" s="18" t="s">
        <v>978</v>
      </c>
      <c r="D311" s="18" t="s">
        <v>112</v>
      </c>
      <c r="E311" s="18" t="s">
        <v>979</v>
      </c>
      <c r="F311" s="18" t="s">
        <v>145</v>
      </c>
      <c r="G311" s="18" t="s">
        <v>311</v>
      </c>
      <c r="H311" s="18">
        <v>94</v>
      </c>
      <c r="I311" s="18" t="s">
        <v>162</v>
      </c>
      <c r="J311" s="18" t="s">
        <v>980</v>
      </c>
      <c r="K311" s="18" t="s">
        <v>108</v>
      </c>
      <c r="L311" s="18" t="s">
        <v>981</v>
      </c>
      <c r="M311" s="18" t="s">
        <v>255</v>
      </c>
      <c r="N311" s="18" t="s">
        <v>162</v>
      </c>
      <c r="O311" s="18" t="s">
        <v>175</v>
      </c>
      <c r="P311" s="18" t="s">
        <v>982</v>
      </c>
      <c r="Q311" s="18">
        <f>IFERROR(MATCH(K311,Niveles!$B$2:$B$10,0),"")</f>
        <v>9</v>
      </c>
    </row>
    <row r="312" spans="1:17" x14ac:dyDescent="0.25">
      <c r="A312" s="18" t="s">
        <v>130</v>
      </c>
      <c r="B312" s="18">
        <v>1952</v>
      </c>
      <c r="C312" s="18" t="s">
        <v>978</v>
      </c>
      <c r="D312" s="18" t="s">
        <v>237</v>
      </c>
      <c r="E312" s="18" t="s">
        <v>983</v>
      </c>
      <c r="F312" s="18" t="s">
        <v>145</v>
      </c>
      <c r="G312" s="18" t="s">
        <v>393</v>
      </c>
      <c r="H312" s="18">
        <v>100</v>
      </c>
      <c r="I312" s="18" t="s">
        <v>162</v>
      </c>
      <c r="J312" s="18" t="s">
        <v>980</v>
      </c>
      <c r="K312" s="18" t="s">
        <v>106</v>
      </c>
      <c r="L312" s="18" t="s">
        <v>663</v>
      </c>
      <c r="M312" s="18" t="s">
        <v>255</v>
      </c>
      <c r="N312" s="18" t="s">
        <v>162</v>
      </c>
      <c r="O312" s="18" t="s">
        <v>175</v>
      </c>
      <c r="P312" s="18" t="s">
        <v>984</v>
      </c>
      <c r="Q312" s="18">
        <f>IFERROR(MATCH(K312,Niveles!$B$2:$B$10,0),"")</f>
        <v>7</v>
      </c>
    </row>
    <row r="313" spans="1:17" x14ac:dyDescent="0.25">
      <c r="A313" s="18" t="s">
        <v>65</v>
      </c>
      <c r="B313" s="18">
        <v>1952</v>
      </c>
      <c r="C313" s="18" t="s">
        <v>978</v>
      </c>
      <c r="D313" s="18" t="s">
        <v>121</v>
      </c>
      <c r="E313" s="18" t="s">
        <v>985</v>
      </c>
      <c r="F313" s="18" t="s">
        <v>145</v>
      </c>
      <c r="G313" s="18" t="s">
        <v>397</v>
      </c>
      <c r="H313" s="18">
        <v>82</v>
      </c>
      <c r="I313" s="18" t="s">
        <v>162</v>
      </c>
      <c r="J313" s="18"/>
      <c r="K313" s="18"/>
      <c r="L313" s="18"/>
      <c r="M313" s="18"/>
      <c r="N313" s="18"/>
      <c r="O313" s="18" t="s">
        <v>163</v>
      </c>
      <c r="P313" s="18"/>
      <c r="Q313" s="18" t="str">
        <f>IFERROR(MATCH(K313,Niveles!$B$2:$B$10,0),"")</f>
        <v/>
      </c>
    </row>
    <row r="314" spans="1:17" x14ac:dyDescent="0.25">
      <c r="A314" s="18" t="s">
        <v>65</v>
      </c>
      <c r="B314" s="18">
        <v>1952</v>
      </c>
      <c r="C314" s="18" t="s">
        <v>978</v>
      </c>
      <c r="D314" s="18" t="s">
        <v>123</v>
      </c>
      <c r="E314" s="18" t="s">
        <v>986</v>
      </c>
      <c r="F314" s="18" t="s">
        <v>145</v>
      </c>
      <c r="G314" s="18" t="s">
        <v>987</v>
      </c>
      <c r="H314" s="18">
        <v>86</v>
      </c>
      <c r="I314" s="18" t="s">
        <v>162</v>
      </c>
      <c r="J314" s="18" t="s">
        <v>980</v>
      </c>
      <c r="K314" s="18" t="s">
        <v>125</v>
      </c>
      <c r="L314" s="18"/>
      <c r="M314" s="18" t="s">
        <v>255</v>
      </c>
      <c r="N314" s="18" t="s">
        <v>162</v>
      </c>
      <c r="O314" s="18" t="s">
        <v>175</v>
      </c>
      <c r="P314" s="18" t="s">
        <v>988</v>
      </c>
      <c r="Q314" s="18">
        <f>IFERROR(MATCH(K314,Niveles!$B$2:$B$10,0),"")</f>
        <v>3</v>
      </c>
    </row>
    <row r="315" spans="1:17" x14ac:dyDescent="0.25">
      <c r="A315" s="18" t="s">
        <v>65</v>
      </c>
      <c r="B315" s="18">
        <v>1952</v>
      </c>
      <c r="C315" s="18" t="s">
        <v>989</v>
      </c>
      <c r="D315" s="18" t="s">
        <v>113</v>
      </c>
      <c r="E315" s="18" t="s">
        <v>990</v>
      </c>
      <c r="F315" s="18" t="s">
        <v>145</v>
      </c>
      <c r="G315" s="18" t="s">
        <v>991</v>
      </c>
      <c r="H315" s="18">
        <v>95</v>
      </c>
      <c r="I315" s="18" t="s">
        <v>162</v>
      </c>
      <c r="J315" s="18"/>
      <c r="K315" s="18"/>
      <c r="L315" s="18"/>
      <c r="M315" s="18"/>
      <c r="N315" s="18"/>
      <c r="O315" s="18" t="s">
        <v>163</v>
      </c>
      <c r="P315" s="18"/>
      <c r="Q315" s="18" t="str">
        <f>IFERROR(MATCH(K315,Niveles!$B$2:$B$10,0),"")</f>
        <v/>
      </c>
    </row>
    <row r="316" spans="1:17" x14ac:dyDescent="0.25">
      <c r="A316" s="18" t="s">
        <v>65</v>
      </c>
      <c r="B316" s="18">
        <v>1952</v>
      </c>
      <c r="C316" s="18" t="s">
        <v>989</v>
      </c>
      <c r="D316" s="18" t="s">
        <v>114</v>
      </c>
      <c r="E316" s="18" t="s">
        <v>992</v>
      </c>
      <c r="F316" s="18" t="s">
        <v>145</v>
      </c>
      <c r="G316" s="18" t="s">
        <v>993</v>
      </c>
      <c r="H316" s="18">
        <v>97</v>
      </c>
      <c r="I316" s="18" t="s">
        <v>162</v>
      </c>
      <c r="J316" s="18"/>
      <c r="K316" s="18"/>
      <c r="L316" s="18"/>
      <c r="M316" s="18"/>
      <c r="N316" s="18"/>
      <c r="O316" s="18" t="s">
        <v>163</v>
      </c>
      <c r="P316" s="18"/>
      <c r="Q316" s="18" t="str">
        <f>IFERROR(MATCH(K316,Niveles!$B$2:$B$10,0),"")</f>
        <v/>
      </c>
    </row>
    <row r="317" spans="1:17" x14ac:dyDescent="0.25">
      <c r="A317" s="18" t="s">
        <v>65</v>
      </c>
      <c r="B317" s="18">
        <v>1952</v>
      </c>
      <c r="C317" s="18" t="s">
        <v>989</v>
      </c>
      <c r="D317" s="18" t="s">
        <v>118</v>
      </c>
      <c r="E317" s="18" t="s">
        <v>994</v>
      </c>
      <c r="F317" s="18" t="s">
        <v>145</v>
      </c>
      <c r="G317" s="18" t="s">
        <v>995</v>
      </c>
      <c r="H317" s="18">
        <v>102</v>
      </c>
      <c r="I317" s="18" t="s">
        <v>162</v>
      </c>
      <c r="J317" s="18" t="s">
        <v>980</v>
      </c>
      <c r="K317" s="18" t="s">
        <v>108</v>
      </c>
      <c r="L317" s="18" t="s">
        <v>171</v>
      </c>
      <c r="M317" s="18" t="s">
        <v>255</v>
      </c>
      <c r="N317" s="18" t="s">
        <v>162</v>
      </c>
      <c r="O317" s="18" t="s">
        <v>175</v>
      </c>
      <c r="P317" s="18" t="s">
        <v>996</v>
      </c>
      <c r="Q317" s="18">
        <f>IFERROR(MATCH(K317,Niveles!$B$2:$B$10,0),"")</f>
        <v>9</v>
      </c>
    </row>
    <row r="318" spans="1:17" x14ac:dyDescent="0.25">
      <c r="A318" s="18" t="s">
        <v>65</v>
      </c>
      <c r="B318" s="18">
        <v>1952</v>
      </c>
      <c r="C318" s="18" t="s">
        <v>989</v>
      </c>
      <c r="D318" s="18" t="s">
        <v>772</v>
      </c>
      <c r="E318" s="18" t="s">
        <v>997</v>
      </c>
      <c r="F318" s="18" t="s">
        <v>145</v>
      </c>
      <c r="G318" s="18" t="s">
        <v>998</v>
      </c>
      <c r="H318" s="18">
        <v>105</v>
      </c>
      <c r="I318" s="18" t="s">
        <v>162</v>
      </c>
      <c r="J318" s="18"/>
      <c r="K318" s="18"/>
      <c r="L318" s="18"/>
      <c r="M318" s="18"/>
      <c r="N318" s="18"/>
      <c r="O318" s="18" t="s">
        <v>163</v>
      </c>
      <c r="P318" s="18"/>
      <c r="Q318" s="18" t="str">
        <f>IFERROR(MATCH(K318,Niveles!$B$2:$B$10,0),"")</f>
        <v/>
      </c>
    </row>
    <row r="319" spans="1:17" x14ac:dyDescent="0.25">
      <c r="A319" s="18" t="s">
        <v>65</v>
      </c>
      <c r="B319" s="18">
        <v>1952</v>
      </c>
      <c r="C319" s="18" t="s">
        <v>989</v>
      </c>
      <c r="D319" s="18" t="s">
        <v>115</v>
      </c>
      <c r="E319" s="18" t="s">
        <v>999</v>
      </c>
      <c r="F319" s="18" t="s">
        <v>145</v>
      </c>
      <c r="G319" s="18" t="s">
        <v>1000</v>
      </c>
      <c r="H319" s="18">
        <v>110</v>
      </c>
      <c r="I319" s="18" t="s">
        <v>162</v>
      </c>
      <c r="J319" s="18"/>
      <c r="K319" s="18"/>
      <c r="L319" s="18"/>
      <c r="M319" s="18"/>
      <c r="N319" s="18"/>
      <c r="O319" s="18" t="s">
        <v>163</v>
      </c>
      <c r="P319" s="18"/>
      <c r="Q319" s="18" t="str">
        <f>IFERROR(MATCH(K319,Niveles!$B$2:$B$10,0),"")</f>
        <v/>
      </c>
    </row>
    <row r="320" spans="1:17" x14ac:dyDescent="0.25">
      <c r="A320" s="18" t="s">
        <v>65</v>
      </c>
      <c r="B320" s="18">
        <v>1952</v>
      </c>
      <c r="C320" s="18" t="s">
        <v>1001</v>
      </c>
      <c r="D320" s="18" t="s">
        <v>122</v>
      </c>
      <c r="E320" s="18" t="s">
        <v>1002</v>
      </c>
      <c r="F320" s="18" t="s">
        <v>145</v>
      </c>
      <c r="G320" s="18" t="s">
        <v>1003</v>
      </c>
      <c r="H320" s="18">
        <v>120</v>
      </c>
      <c r="I320" s="18" t="s">
        <v>162</v>
      </c>
      <c r="J320" s="18"/>
      <c r="K320" s="18"/>
      <c r="L320" s="18"/>
      <c r="M320" s="18"/>
      <c r="N320" s="18"/>
      <c r="O320" s="18" t="s">
        <v>163</v>
      </c>
      <c r="P320" s="18"/>
      <c r="Q320" s="18" t="str">
        <f>IFERROR(MATCH(K320,Niveles!$B$2:$B$10,0),"")</f>
        <v/>
      </c>
    </row>
    <row r="321" spans="1:17" x14ac:dyDescent="0.25">
      <c r="A321" s="18" t="s">
        <v>65</v>
      </c>
      <c r="B321" s="18">
        <v>1952</v>
      </c>
      <c r="C321" s="18" t="s">
        <v>1001</v>
      </c>
      <c r="D321" s="18" t="s">
        <v>878</v>
      </c>
      <c r="E321" s="18" t="s">
        <v>1004</v>
      </c>
      <c r="F321" s="18" t="s">
        <v>145</v>
      </c>
      <c r="G321" s="18" t="s">
        <v>1005</v>
      </c>
      <c r="H321" s="18">
        <v>125</v>
      </c>
      <c r="I321" s="18" t="s">
        <v>162</v>
      </c>
      <c r="J321" s="18"/>
      <c r="K321" s="18"/>
      <c r="L321" s="18"/>
      <c r="M321" s="18"/>
      <c r="N321" s="18"/>
      <c r="O321" s="18" t="s">
        <v>163</v>
      </c>
      <c r="P321" s="18"/>
      <c r="Q321" s="18" t="str">
        <f>IFERROR(MATCH(K321,Niveles!$B$2:$B$10,0),"")</f>
        <v/>
      </c>
    </row>
    <row r="322" spans="1:17" x14ac:dyDescent="0.25">
      <c r="A322" s="18" t="s">
        <v>65</v>
      </c>
      <c r="B322" s="18">
        <v>1952</v>
      </c>
      <c r="C322" s="18" t="s">
        <v>1001</v>
      </c>
      <c r="D322" s="18" t="s">
        <v>880</v>
      </c>
      <c r="E322" s="18" t="s">
        <v>1006</v>
      </c>
      <c r="F322" s="18" t="s">
        <v>145</v>
      </c>
      <c r="G322" s="18" t="s">
        <v>252</v>
      </c>
      <c r="H322" s="18">
        <v>132</v>
      </c>
      <c r="I322" s="18" t="s">
        <v>162</v>
      </c>
      <c r="J322" s="18"/>
      <c r="K322" s="18"/>
      <c r="L322" s="18"/>
      <c r="M322" s="18"/>
      <c r="N322" s="18"/>
      <c r="O322" s="18" t="s">
        <v>163</v>
      </c>
      <c r="P322" s="18"/>
      <c r="Q322" s="18" t="str">
        <f>IFERROR(MATCH(K322,Niveles!$B$2:$B$10,0),"")</f>
        <v/>
      </c>
    </row>
    <row r="323" spans="1:17" x14ac:dyDescent="0.25">
      <c r="A323" s="18" t="s">
        <v>65</v>
      </c>
      <c r="B323" s="18">
        <v>1952</v>
      </c>
      <c r="C323" s="18" t="s">
        <v>1001</v>
      </c>
      <c r="D323" s="18" t="s">
        <v>383</v>
      </c>
      <c r="E323" s="18" t="s">
        <v>1007</v>
      </c>
      <c r="F323" s="18" t="s">
        <v>145</v>
      </c>
      <c r="G323" s="18" t="s">
        <v>1008</v>
      </c>
      <c r="H323" s="18">
        <v>138</v>
      </c>
      <c r="I323" s="18" t="s">
        <v>162</v>
      </c>
      <c r="J323" s="18"/>
      <c r="K323" s="18"/>
      <c r="L323" s="18"/>
      <c r="M323" s="18"/>
      <c r="N323" s="18"/>
      <c r="O323" s="18" t="s">
        <v>163</v>
      </c>
      <c r="P323" s="18"/>
      <c r="Q323" s="18" t="str">
        <f>IFERROR(MATCH(K323,Niveles!$B$2:$B$10,0),"")</f>
        <v/>
      </c>
    </row>
    <row r="324" spans="1:17" x14ac:dyDescent="0.25">
      <c r="A324" s="18" t="s">
        <v>65</v>
      </c>
      <c r="B324" s="18">
        <v>1952</v>
      </c>
      <c r="C324" s="18" t="s">
        <v>1001</v>
      </c>
      <c r="D324" s="18" t="s">
        <v>886</v>
      </c>
      <c r="E324" s="18" t="s">
        <v>1009</v>
      </c>
      <c r="F324" s="18" t="s">
        <v>145</v>
      </c>
      <c r="G324" s="18" t="s">
        <v>1010</v>
      </c>
      <c r="H324" s="18">
        <v>149</v>
      </c>
      <c r="I324" s="18" t="s">
        <v>162</v>
      </c>
      <c r="J324" s="18"/>
      <c r="K324" s="18"/>
      <c r="L324" s="18"/>
      <c r="M324" s="18"/>
      <c r="N324" s="18"/>
      <c r="O324" s="18" t="s">
        <v>163</v>
      </c>
      <c r="P324" s="18"/>
      <c r="Q324" s="18" t="str">
        <f>IFERROR(MATCH(K324,Niveles!$B$2:$B$10,0),"")</f>
        <v/>
      </c>
    </row>
    <row r="325" spans="1:17" x14ac:dyDescent="0.25">
      <c r="A325" s="18" t="s">
        <v>65</v>
      </c>
      <c r="B325" s="18">
        <v>1952</v>
      </c>
      <c r="C325" s="18" t="s">
        <v>1001</v>
      </c>
      <c r="D325" s="18" t="s">
        <v>840</v>
      </c>
      <c r="E325" s="18" t="s">
        <v>1011</v>
      </c>
      <c r="F325" s="18" t="s">
        <v>145</v>
      </c>
      <c r="G325" s="18" t="s">
        <v>1012</v>
      </c>
      <c r="H325" s="18">
        <v>155</v>
      </c>
      <c r="I325" s="18" t="s">
        <v>162</v>
      </c>
      <c r="J325" s="18"/>
      <c r="K325" s="18"/>
      <c r="L325" s="18"/>
      <c r="M325" s="18"/>
      <c r="N325" s="18"/>
      <c r="O325" s="18" t="s">
        <v>163</v>
      </c>
      <c r="P325" s="18"/>
      <c r="Q325" s="18" t="str">
        <f>IFERROR(MATCH(K325,Niveles!$B$2:$B$10,0),"")</f>
        <v/>
      </c>
    </row>
    <row r="326" spans="1:17" x14ac:dyDescent="0.25">
      <c r="A326" s="18" t="s">
        <v>65</v>
      </c>
      <c r="B326" s="18">
        <v>1952</v>
      </c>
      <c r="C326" s="18" t="s">
        <v>1013</v>
      </c>
      <c r="D326" s="18" t="s">
        <v>843</v>
      </c>
      <c r="E326" s="18" t="s">
        <v>1014</v>
      </c>
      <c r="F326" s="18" t="s">
        <v>145</v>
      </c>
      <c r="G326" s="18" t="s">
        <v>1015</v>
      </c>
      <c r="H326" s="18">
        <v>159</v>
      </c>
      <c r="I326" s="18" t="s">
        <v>162</v>
      </c>
      <c r="J326" s="18"/>
      <c r="K326" s="18"/>
      <c r="L326" s="18"/>
      <c r="M326" s="18"/>
      <c r="N326" s="18"/>
      <c r="O326" s="18" t="s">
        <v>163</v>
      </c>
      <c r="P326" s="18"/>
      <c r="Q326" s="18" t="str">
        <f>IFERROR(MATCH(K326,Niveles!$B$2:$B$10,0),"")</f>
        <v/>
      </c>
    </row>
    <row r="327" spans="1:17" x14ac:dyDescent="0.25">
      <c r="A327" s="18" t="s">
        <v>65</v>
      </c>
      <c r="B327" s="18">
        <v>1952</v>
      </c>
      <c r="C327" s="18" t="s">
        <v>1013</v>
      </c>
      <c r="D327" s="18" t="s">
        <v>294</v>
      </c>
      <c r="E327" s="18" t="s">
        <v>1016</v>
      </c>
      <c r="F327" s="18" t="s">
        <v>145</v>
      </c>
      <c r="G327" s="18" t="s">
        <v>928</v>
      </c>
      <c r="H327" s="18">
        <v>161</v>
      </c>
      <c r="I327" s="18" t="s">
        <v>162</v>
      </c>
      <c r="J327" s="18"/>
      <c r="K327" s="18"/>
      <c r="L327" s="18"/>
      <c r="M327" s="18"/>
      <c r="N327" s="18"/>
      <c r="O327" s="18" t="s">
        <v>163</v>
      </c>
      <c r="P327" s="18"/>
      <c r="Q327" s="18" t="str">
        <f>IFERROR(MATCH(K327,Niveles!$B$2:$B$10,0),"")</f>
        <v/>
      </c>
    </row>
    <row r="328" spans="1:17" x14ac:dyDescent="0.25">
      <c r="A328" s="18" t="s">
        <v>65</v>
      </c>
      <c r="B328" s="18">
        <v>1952</v>
      </c>
      <c r="C328" s="18" t="s">
        <v>1017</v>
      </c>
      <c r="D328" s="18" t="s">
        <v>247</v>
      </c>
      <c r="E328" s="18" t="s">
        <v>1018</v>
      </c>
      <c r="F328" s="18" t="s">
        <v>145</v>
      </c>
      <c r="G328" s="18" t="s">
        <v>1019</v>
      </c>
      <c r="H328" s="18">
        <v>164</v>
      </c>
      <c r="I328" s="18" t="s">
        <v>162</v>
      </c>
      <c r="J328" s="18"/>
      <c r="K328" s="18"/>
      <c r="L328" s="18"/>
      <c r="M328" s="18"/>
      <c r="N328" s="18"/>
      <c r="O328" s="18" t="s">
        <v>163</v>
      </c>
      <c r="P328" s="18"/>
      <c r="Q328" s="18" t="str">
        <f>IFERROR(MATCH(K328,Niveles!$B$2:$B$10,0),"")</f>
        <v/>
      </c>
    </row>
    <row r="329" spans="1:17" x14ac:dyDescent="0.25">
      <c r="A329" s="18" t="s">
        <v>65</v>
      </c>
      <c r="B329" s="18">
        <v>1952</v>
      </c>
      <c r="C329" s="18" t="s">
        <v>1017</v>
      </c>
      <c r="D329" s="18" t="s">
        <v>1020</v>
      </c>
      <c r="E329" s="18" t="s">
        <v>1021</v>
      </c>
      <c r="F329" s="18" t="s">
        <v>145</v>
      </c>
      <c r="G329" s="18" t="s">
        <v>1019</v>
      </c>
      <c r="H329" s="18">
        <v>164</v>
      </c>
      <c r="I329" s="18" t="s">
        <v>162</v>
      </c>
      <c r="J329" s="18"/>
      <c r="K329" s="18"/>
      <c r="L329" s="18"/>
      <c r="M329" s="18"/>
      <c r="N329" s="18"/>
      <c r="O329" s="18" t="s">
        <v>163</v>
      </c>
      <c r="P329" s="18"/>
      <c r="Q329" s="18" t="str">
        <f>IFERROR(MATCH(K329,Niveles!$B$2:$B$10,0),"")</f>
        <v/>
      </c>
    </row>
    <row r="330" spans="1:17" x14ac:dyDescent="0.25">
      <c r="A330" s="18" t="s">
        <v>65</v>
      </c>
      <c r="B330" s="18">
        <v>1952</v>
      </c>
      <c r="C330" s="18" t="s">
        <v>1022</v>
      </c>
      <c r="D330" s="18" t="s">
        <v>1023</v>
      </c>
      <c r="E330" s="18" t="s">
        <v>1024</v>
      </c>
      <c r="F330" s="18" t="s">
        <v>145</v>
      </c>
      <c r="G330" s="18" t="s">
        <v>1025</v>
      </c>
      <c r="H330" s="18">
        <v>166</v>
      </c>
      <c r="I330" s="18" t="s">
        <v>162</v>
      </c>
      <c r="J330" s="18"/>
      <c r="K330" s="18"/>
      <c r="L330" s="18"/>
      <c r="M330" s="18"/>
      <c r="N330" s="18"/>
      <c r="O330" s="18" t="s">
        <v>163</v>
      </c>
      <c r="P330" s="18"/>
      <c r="Q330" s="18" t="str">
        <f>IFERROR(MATCH(K330,Niveles!$B$2:$B$10,0),"")</f>
        <v/>
      </c>
    </row>
    <row r="331" spans="1:17" x14ac:dyDescent="0.25">
      <c r="A331" s="18" t="s">
        <v>65</v>
      </c>
      <c r="B331" s="18">
        <v>1952</v>
      </c>
      <c r="C331" s="18" t="s">
        <v>1022</v>
      </c>
      <c r="D331" s="18" t="s">
        <v>909</v>
      </c>
      <c r="E331" s="18" t="s">
        <v>1026</v>
      </c>
      <c r="F331" s="18" t="s">
        <v>145</v>
      </c>
      <c r="G331" s="18" t="s">
        <v>1027</v>
      </c>
      <c r="H331" s="18">
        <v>170</v>
      </c>
      <c r="I331" s="18" t="s">
        <v>162</v>
      </c>
      <c r="J331" s="18"/>
      <c r="K331" s="18"/>
      <c r="L331" s="18"/>
      <c r="M331" s="18"/>
      <c r="N331" s="18"/>
      <c r="O331" s="18" t="s">
        <v>163</v>
      </c>
      <c r="P331" s="18"/>
      <c r="Q331" s="18" t="str">
        <f>IFERROR(MATCH(K331,Niveles!$B$2:$B$10,0),"")</f>
        <v/>
      </c>
    </row>
    <row r="332" spans="1:17" x14ac:dyDescent="0.25">
      <c r="A332" s="18" t="s">
        <v>65</v>
      </c>
      <c r="B332" s="18">
        <v>1952</v>
      </c>
      <c r="C332" s="18" t="s">
        <v>1022</v>
      </c>
      <c r="D332" s="18" t="s">
        <v>1028</v>
      </c>
      <c r="E332" s="18" t="s">
        <v>1029</v>
      </c>
      <c r="F332" s="18" t="s">
        <v>145</v>
      </c>
      <c r="G332" s="18" t="s">
        <v>1030</v>
      </c>
      <c r="H332" s="18">
        <v>176</v>
      </c>
      <c r="I332" s="18" t="s">
        <v>162</v>
      </c>
      <c r="J332" s="18"/>
      <c r="K332" s="18"/>
      <c r="L332" s="18"/>
      <c r="M332" s="18"/>
      <c r="N332" s="18"/>
      <c r="O332" s="18" t="s">
        <v>163</v>
      </c>
      <c r="P332" s="18"/>
      <c r="Q332" s="18" t="str">
        <f>IFERROR(MATCH(K332,Niveles!$B$2:$B$10,0),"")</f>
        <v/>
      </c>
    </row>
    <row r="333" spans="1:17" x14ac:dyDescent="0.25">
      <c r="A333" s="18" t="s">
        <v>65</v>
      </c>
      <c r="B333" s="18">
        <v>1952</v>
      </c>
      <c r="C333" s="18" t="s">
        <v>1022</v>
      </c>
      <c r="D333" s="18" t="s">
        <v>1031</v>
      </c>
      <c r="E333" s="18" t="s">
        <v>1032</v>
      </c>
      <c r="F333" s="18" t="s">
        <v>145</v>
      </c>
      <c r="G333" s="18" t="s">
        <v>282</v>
      </c>
      <c r="H333" s="18">
        <v>184</v>
      </c>
      <c r="I333" s="18" t="s">
        <v>162</v>
      </c>
      <c r="J333" s="18"/>
      <c r="K333" s="18"/>
      <c r="L333" s="18"/>
      <c r="M333" s="18"/>
      <c r="N333" s="18"/>
      <c r="O333" s="18" t="s">
        <v>163</v>
      </c>
      <c r="P333" s="18"/>
      <c r="Q333" s="18" t="str">
        <f>IFERROR(MATCH(K333,Niveles!$B$2:$B$10,0),"")</f>
        <v/>
      </c>
    </row>
    <row r="334" spans="1:17" x14ac:dyDescent="0.25">
      <c r="A334" s="18" t="s">
        <v>65</v>
      </c>
      <c r="B334" s="18">
        <v>1952</v>
      </c>
      <c r="C334" s="18" t="s">
        <v>1022</v>
      </c>
      <c r="D334" s="18" t="s">
        <v>851</v>
      </c>
      <c r="E334" s="18" t="s">
        <v>1033</v>
      </c>
      <c r="F334" s="18" t="s">
        <v>145</v>
      </c>
      <c r="G334" s="18" t="s">
        <v>326</v>
      </c>
      <c r="H334" s="18">
        <v>190</v>
      </c>
      <c r="I334" s="18" t="s">
        <v>162</v>
      </c>
      <c r="J334" s="18"/>
      <c r="K334" s="18"/>
      <c r="L334" s="18"/>
      <c r="M334" s="18"/>
      <c r="N334" s="18"/>
      <c r="O334" s="18" t="s">
        <v>163</v>
      </c>
      <c r="P334" s="18"/>
      <c r="Q334" s="18" t="str">
        <f>IFERROR(MATCH(K334,Niveles!$B$2:$B$10,0),"")</f>
        <v/>
      </c>
    </row>
    <row r="335" spans="1:17" x14ac:dyDescent="0.25">
      <c r="A335" s="18" t="s">
        <v>65</v>
      </c>
      <c r="B335" s="18">
        <v>1952</v>
      </c>
      <c r="C335" s="18" t="s">
        <v>1022</v>
      </c>
      <c r="D335" s="18" t="s">
        <v>1034</v>
      </c>
      <c r="E335" s="18" t="s">
        <v>1035</v>
      </c>
      <c r="F335" s="18" t="s">
        <v>145</v>
      </c>
      <c r="G335" s="18" t="s">
        <v>786</v>
      </c>
      <c r="H335" s="18">
        <v>195</v>
      </c>
      <c r="I335" s="18" t="s">
        <v>162</v>
      </c>
      <c r="J335" s="18"/>
      <c r="K335" s="18"/>
      <c r="L335" s="18"/>
      <c r="M335" s="18"/>
      <c r="N335" s="18"/>
      <c r="O335" s="18" t="s">
        <v>163</v>
      </c>
      <c r="P335" s="18"/>
      <c r="Q335" s="18" t="str">
        <f>IFERROR(MATCH(K335,Niveles!$B$2:$B$10,0),"")</f>
        <v/>
      </c>
    </row>
    <row r="336" spans="1:17" x14ac:dyDescent="0.25">
      <c r="A336" s="18" t="s">
        <v>65</v>
      </c>
      <c r="B336" s="18">
        <v>1952</v>
      </c>
      <c r="C336" s="18" t="s">
        <v>1022</v>
      </c>
      <c r="D336" s="18" t="s">
        <v>1036</v>
      </c>
      <c r="E336" s="18" t="s">
        <v>1037</v>
      </c>
      <c r="F336" s="18" t="s">
        <v>145</v>
      </c>
      <c r="G336" s="18" t="s">
        <v>1038</v>
      </c>
      <c r="H336" s="18">
        <v>198</v>
      </c>
      <c r="I336" s="18" t="s">
        <v>162</v>
      </c>
      <c r="J336" s="18"/>
      <c r="K336" s="18"/>
      <c r="L336" s="18"/>
      <c r="M336" s="18"/>
      <c r="N336" s="18"/>
      <c r="O336" s="18" t="s">
        <v>163</v>
      </c>
      <c r="P336" s="18"/>
      <c r="Q336" s="18" t="str">
        <f>IFERROR(MATCH(K336,Niveles!$B$2:$B$10,0),"")</f>
        <v/>
      </c>
    </row>
    <row r="337" spans="1:17" x14ac:dyDescent="0.25">
      <c r="A337" s="18" t="s">
        <v>65</v>
      </c>
      <c r="B337" s="18">
        <v>1952</v>
      </c>
      <c r="C337" s="18" t="s">
        <v>1022</v>
      </c>
      <c r="D337" s="18" t="s">
        <v>738</v>
      </c>
      <c r="E337" s="18" t="s">
        <v>1039</v>
      </c>
      <c r="F337" s="18" t="s">
        <v>145</v>
      </c>
      <c r="G337" s="18" t="s">
        <v>1040</v>
      </c>
      <c r="H337" s="18">
        <v>205</v>
      </c>
      <c r="I337" s="18" t="s">
        <v>162</v>
      </c>
      <c r="J337" s="18"/>
      <c r="K337" s="18"/>
      <c r="L337" s="18"/>
      <c r="M337" s="18"/>
      <c r="N337" s="18"/>
      <c r="O337" s="18" t="s">
        <v>163</v>
      </c>
      <c r="P337" s="18"/>
      <c r="Q337" s="18" t="str">
        <f>IFERROR(MATCH(K337,Niveles!$B$2:$B$10,0),"")</f>
        <v/>
      </c>
    </row>
    <row r="338" spans="1:17" x14ac:dyDescent="0.25">
      <c r="A338" s="18" t="s">
        <v>65</v>
      </c>
      <c r="B338" s="18">
        <v>1952</v>
      </c>
      <c r="C338" s="18" t="s">
        <v>1022</v>
      </c>
      <c r="D338" s="18" t="s">
        <v>1041</v>
      </c>
      <c r="E338" s="18" t="s">
        <v>1042</v>
      </c>
      <c r="F338" s="18" t="s">
        <v>145</v>
      </c>
      <c r="G338" s="18" t="s">
        <v>406</v>
      </c>
      <c r="H338" s="18">
        <v>212</v>
      </c>
      <c r="I338" s="18" t="s">
        <v>162</v>
      </c>
      <c r="J338" s="18"/>
      <c r="K338" s="18"/>
      <c r="L338" s="18"/>
      <c r="M338" s="18"/>
      <c r="N338" s="18"/>
      <c r="O338" s="18" t="s">
        <v>163</v>
      </c>
      <c r="P338" s="18"/>
      <c r="Q338" s="18" t="str">
        <f>IFERROR(MATCH(K338,Niveles!$B$2:$B$10,0),"")</f>
        <v/>
      </c>
    </row>
    <row r="339" spans="1:17" x14ac:dyDescent="0.25">
      <c r="A339" s="18" t="s">
        <v>65</v>
      </c>
      <c r="B339" s="18">
        <v>1952</v>
      </c>
      <c r="C339" s="18" t="s">
        <v>1022</v>
      </c>
      <c r="D339" s="18" t="s">
        <v>1043</v>
      </c>
      <c r="E339" s="18" t="s">
        <v>1044</v>
      </c>
      <c r="F339" s="18" t="s">
        <v>145</v>
      </c>
      <c r="G339" s="18" t="s">
        <v>1045</v>
      </c>
      <c r="H339" s="18">
        <v>220</v>
      </c>
      <c r="I339" s="18" t="s">
        <v>162</v>
      </c>
      <c r="J339" s="18"/>
      <c r="K339" s="18"/>
      <c r="L339" s="18"/>
      <c r="M339" s="18"/>
      <c r="N339" s="18"/>
      <c r="O339" s="18" t="s">
        <v>163</v>
      </c>
      <c r="P339" s="18"/>
      <c r="Q339" s="18" t="str">
        <f>IFERROR(MATCH(K339,Niveles!$B$2:$B$10,0),"")</f>
        <v/>
      </c>
    </row>
    <row r="340" spans="1:17" x14ac:dyDescent="0.25">
      <c r="A340" s="18" t="s">
        <v>65</v>
      </c>
      <c r="B340" s="18">
        <v>1952</v>
      </c>
      <c r="C340" s="18" t="s">
        <v>1022</v>
      </c>
      <c r="D340" s="18" t="s">
        <v>946</v>
      </c>
      <c r="E340" s="18" t="s">
        <v>1046</v>
      </c>
      <c r="F340" s="18" t="s">
        <v>145</v>
      </c>
      <c r="G340" s="18" t="s">
        <v>1047</v>
      </c>
      <c r="H340" s="18">
        <v>224</v>
      </c>
      <c r="I340" s="18" t="s">
        <v>162</v>
      </c>
      <c r="J340" s="18"/>
      <c r="K340" s="18"/>
      <c r="L340" s="18"/>
      <c r="M340" s="18"/>
      <c r="N340" s="18"/>
      <c r="O340" s="18" t="s">
        <v>163</v>
      </c>
      <c r="P340" s="18"/>
      <c r="Q340" s="18" t="str">
        <f>IFERROR(MATCH(K340,Niveles!$B$2:$B$10,0),"")</f>
        <v/>
      </c>
    </row>
    <row r="341" spans="1:17" x14ac:dyDescent="0.25">
      <c r="A341" s="18" t="s">
        <v>65</v>
      </c>
      <c r="B341" s="18">
        <v>1952</v>
      </c>
      <c r="C341" s="18" t="s">
        <v>1022</v>
      </c>
      <c r="D341" s="18" t="s">
        <v>297</v>
      </c>
      <c r="E341" s="18" t="s">
        <v>1048</v>
      </c>
      <c r="F341" s="18" t="s">
        <v>145</v>
      </c>
      <c r="G341" s="18" t="s">
        <v>1049</v>
      </c>
      <c r="H341" s="18">
        <v>230</v>
      </c>
      <c r="I341" s="18" t="s">
        <v>162</v>
      </c>
      <c r="J341" s="18"/>
      <c r="K341" s="18"/>
      <c r="L341" s="18"/>
      <c r="M341" s="18"/>
      <c r="N341" s="18"/>
      <c r="O341" s="18" t="s">
        <v>163</v>
      </c>
      <c r="P341" s="18"/>
      <c r="Q341" s="18" t="str">
        <f>IFERROR(MATCH(K341,Niveles!$B$2:$B$10,0),"")</f>
        <v/>
      </c>
    </row>
    <row r="342" spans="1:17" x14ac:dyDescent="0.25">
      <c r="A342" s="18" t="s">
        <v>65</v>
      </c>
      <c r="B342" s="18">
        <v>1952</v>
      </c>
      <c r="C342" s="18" t="s">
        <v>1050</v>
      </c>
      <c r="D342" s="18"/>
      <c r="E342" s="18" t="s">
        <v>1051</v>
      </c>
      <c r="F342" s="18" t="s">
        <v>161</v>
      </c>
      <c r="G342" s="18"/>
      <c r="H342" s="18">
        <v>236</v>
      </c>
      <c r="I342" s="18" t="s">
        <v>162</v>
      </c>
      <c r="J342" s="18"/>
      <c r="K342" s="18"/>
      <c r="L342" s="18"/>
      <c r="M342" s="18"/>
      <c r="N342" s="18"/>
      <c r="O342" s="18" t="s">
        <v>163</v>
      </c>
      <c r="P342" s="18" t="s">
        <v>1052</v>
      </c>
      <c r="Q342" s="18" t="str">
        <f>IFERROR(MATCH(K342,Niveles!$B$2:$B$10,0),"")</f>
        <v/>
      </c>
    </row>
    <row r="343" spans="1:17" x14ac:dyDescent="0.25">
      <c r="A343" s="18" t="s">
        <v>65</v>
      </c>
      <c r="B343" s="18">
        <v>1952</v>
      </c>
      <c r="C343" s="18" t="s">
        <v>1053</v>
      </c>
      <c r="D343" s="18"/>
      <c r="E343" s="18" t="s">
        <v>1054</v>
      </c>
      <c r="F343" s="18" t="s">
        <v>169</v>
      </c>
      <c r="G343" s="18"/>
      <c r="H343" s="18">
        <v>240</v>
      </c>
      <c r="I343" s="18" t="s">
        <v>162</v>
      </c>
      <c r="J343" s="18" t="s">
        <v>980</v>
      </c>
      <c r="K343" s="18" t="s">
        <v>885</v>
      </c>
      <c r="L343" s="18" t="s">
        <v>254</v>
      </c>
      <c r="M343" s="18" t="s">
        <v>172</v>
      </c>
      <c r="N343" s="18" t="s">
        <v>157</v>
      </c>
      <c r="O343" s="18" t="s">
        <v>163</v>
      </c>
      <c r="P343" s="18" t="s">
        <v>1055</v>
      </c>
      <c r="Q343" s="18">
        <f>IFERROR(MATCH(K343,Niveles!$B$2:$B$10,0),"")</f>
        <v>1</v>
      </c>
    </row>
    <row r="344" spans="1:17" x14ac:dyDescent="0.25">
      <c r="A344" s="18" t="s">
        <v>65</v>
      </c>
      <c r="B344" s="18">
        <v>1952</v>
      </c>
      <c r="C344" s="18" t="s">
        <v>1056</v>
      </c>
      <c r="D344" s="18"/>
      <c r="E344" s="18" t="s">
        <v>1057</v>
      </c>
      <c r="F344" s="18" t="s">
        <v>169</v>
      </c>
      <c r="G344" s="18"/>
      <c r="H344" s="18">
        <v>366</v>
      </c>
      <c r="I344" s="18" t="s">
        <v>162</v>
      </c>
      <c r="J344" s="18" t="s">
        <v>980</v>
      </c>
      <c r="K344" s="18" t="s">
        <v>885</v>
      </c>
      <c r="L344" s="18" t="s">
        <v>254</v>
      </c>
      <c r="M344" s="18" t="s">
        <v>172</v>
      </c>
      <c r="N344" s="18" t="s">
        <v>157</v>
      </c>
      <c r="O344" s="18" t="s">
        <v>163</v>
      </c>
      <c r="P344" s="18" t="s">
        <v>1058</v>
      </c>
      <c r="Q344" s="18">
        <f>IFERROR(MATCH(K344,Niveles!$B$2:$B$10,0),"")</f>
        <v>1</v>
      </c>
    </row>
    <row r="345" spans="1:17" x14ac:dyDescent="0.25">
      <c r="A345" s="18" t="s">
        <v>65</v>
      </c>
      <c r="B345" s="18">
        <v>1952</v>
      </c>
      <c r="C345" s="18" t="s">
        <v>1059</v>
      </c>
      <c r="D345" s="18"/>
      <c r="E345" s="18" t="s">
        <v>1060</v>
      </c>
      <c r="F345" s="18" t="s">
        <v>169</v>
      </c>
      <c r="G345" s="18"/>
      <c r="H345" s="18">
        <v>458</v>
      </c>
      <c r="I345" s="18" t="s">
        <v>162</v>
      </c>
      <c r="J345" s="18" t="s">
        <v>980</v>
      </c>
      <c r="K345" s="18" t="s">
        <v>885</v>
      </c>
      <c r="L345" s="18" t="s">
        <v>254</v>
      </c>
      <c r="M345" s="18" t="s">
        <v>172</v>
      </c>
      <c r="N345" s="18" t="s">
        <v>157</v>
      </c>
      <c r="O345" s="18" t="s">
        <v>163</v>
      </c>
      <c r="P345" s="18" t="s">
        <v>1061</v>
      </c>
      <c r="Q345" s="18">
        <f>IFERROR(MATCH(K345,Niveles!$B$2:$B$10,0),"")</f>
        <v>1</v>
      </c>
    </row>
    <row r="346" spans="1:17" x14ac:dyDescent="0.25">
      <c r="A346" s="18" t="s">
        <v>65</v>
      </c>
      <c r="B346" s="18">
        <v>1952</v>
      </c>
      <c r="C346" s="18" t="s">
        <v>1062</v>
      </c>
      <c r="D346" s="18"/>
      <c r="E346" s="18" t="s">
        <v>1063</v>
      </c>
      <c r="F346" s="18" t="s">
        <v>169</v>
      </c>
      <c r="G346" s="18"/>
      <c r="H346" s="18">
        <v>526</v>
      </c>
      <c r="I346" s="18" t="s">
        <v>162</v>
      </c>
      <c r="J346" s="18" t="s">
        <v>980</v>
      </c>
      <c r="K346" s="18" t="s">
        <v>885</v>
      </c>
      <c r="L346" s="18" t="s">
        <v>254</v>
      </c>
      <c r="M346" s="18" t="s">
        <v>172</v>
      </c>
      <c r="N346" s="18" t="s">
        <v>157</v>
      </c>
      <c r="O346" s="18" t="s">
        <v>163</v>
      </c>
      <c r="P346" s="18" t="s">
        <v>1064</v>
      </c>
      <c r="Q346" s="18">
        <f>IFERROR(MATCH(K346,Niveles!$B$2:$B$10,0),"")</f>
        <v>1</v>
      </c>
    </row>
    <row r="347" spans="1:17" x14ac:dyDescent="0.25">
      <c r="A347" s="18" t="s">
        <v>65</v>
      </c>
      <c r="B347" s="18">
        <v>1952</v>
      </c>
      <c r="C347" s="18" t="s">
        <v>1065</v>
      </c>
      <c r="D347" s="18"/>
      <c r="E347" s="18" t="s">
        <v>1066</v>
      </c>
      <c r="F347" s="18" t="s">
        <v>169</v>
      </c>
      <c r="G347" s="18"/>
      <c r="H347" s="18">
        <v>649</v>
      </c>
      <c r="I347" s="18" t="s">
        <v>162</v>
      </c>
      <c r="J347" s="18" t="s">
        <v>980</v>
      </c>
      <c r="K347" s="18" t="s">
        <v>885</v>
      </c>
      <c r="L347" s="18" t="s">
        <v>254</v>
      </c>
      <c r="M347" s="18" t="s">
        <v>172</v>
      </c>
      <c r="N347" s="18" t="s">
        <v>157</v>
      </c>
      <c r="O347" s="18" t="s">
        <v>163</v>
      </c>
      <c r="P347" s="18" t="s">
        <v>1067</v>
      </c>
      <c r="Q347" s="18">
        <f>IFERROR(MATCH(K347,Niveles!$B$2:$B$10,0),"")</f>
        <v>1</v>
      </c>
    </row>
    <row r="348" spans="1:17" x14ac:dyDescent="0.25">
      <c r="A348" s="18" t="s">
        <v>65</v>
      </c>
      <c r="B348" s="18">
        <v>1952</v>
      </c>
      <c r="C348" s="18" t="s">
        <v>1068</v>
      </c>
      <c r="D348" s="18"/>
      <c r="E348" s="18" t="s">
        <v>1069</v>
      </c>
      <c r="F348" s="18" t="s">
        <v>169</v>
      </c>
      <c r="G348" s="18"/>
      <c r="H348" s="18">
        <v>693</v>
      </c>
      <c r="I348" s="18" t="s">
        <v>162</v>
      </c>
      <c r="J348" s="18" t="s">
        <v>980</v>
      </c>
      <c r="K348" s="18" t="s">
        <v>885</v>
      </c>
      <c r="L348" s="18" t="s">
        <v>254</v>
      </c>
      <c r="M348" s="18" t="s">
        <v>172</v>
      </c>
      <c r="N348" s="18" t="s">
        <v>157</v>
      </c>
      <c r="O348" s="18" t="s">
        <v>163</v>
      </c>
      <c r="P348" s="18" t="s">
        <v>1070</v>
      </c>
      <c r="Q348" s="18">
        <f>IFERROR(MATCH(K348,Niveles!$B$2:$B$10,0),"")</f>
        <v>1</v>
      </c>
    </row>
    <row r="349" spans="1:17" x14ac:dyDescent="0.25">
      <c r="A349" s="18" t="s">
        <v>65</v>
      </c>
      <c r="B349" s="18">
        <v>1952</v>
      </c>
      <c r="C349" s="18" t="s">
        <v>1071</v>
      </c>
      <c r="D349" s="18"/>
      <c r="E349" s="18" t="s">
        <v>1072</v>
      </c>
      <c r="F349" s="18" t="s">
        <v>169</v>
      </c>
      <c r="G349" s="18"/>
      <c r="H349" s="18">
        <v>792</v>
      </c>
      <c r="I349" s="18" t="s">
        <v>162</v>
      </c>
      <c r="J349" s="18" t="s">
        <v>980</v>
      </c>
      <c r="K349" s="18" t="s">
        <v>885</v>
      </c>
      <c r="L349" s="18" t="s">
        <v>254</v>
      </c>
      <c r="M349" s="18" t="s">
        <v>172</v>
      </c>
      <c r="N349" s="18" t="s">
        <v>157</v>
      </c>
      <c r="O349" s="18" t="s">
        <v>163</v>
      </c>
      <c r="P349" s="18" t="s">
        <v>1073</v>
      </c>
      <c r="Q349" s="18">
        <f>IFERROR(MATCH(K349,Niveles!$B$2:$B$10,0),"")</f>
        <v>1</v>
      </c>
    </row>
    <row r="350" spans="1:17" x14ac:dyDescent="0.25">
      <c r="A350" s="18" t="s">
        <v>65</v>
      </c>
      <c r="B350" s="18">
        <v>1952</v>
      </c>
      <c r="C350" s="18" t="s">
        <v>1074</v>
      </c>
      <c r="D350" s="18"/>
      <c r="E350" s="18" t="s">
        <v>1075</v>
      </c>
      <c r="F350" s="18" t="s">
        <v>169</v>
      </c>
      <c r="G350" s="18"/>
      <c r="H350" s="18">
        <v>886</v>
      </c>
      <c r="I350" s="18" t="s">
        <v>162</v>
      </c>
      <c r="J350" s="18" t="s">
        <v>980</v>
      </c>
      <c r="K350" s="18" t="s">
        <v>885</v>
      </c>
      <c r="L350" s="18" t="s">
        <v>254</v>
      </c>
      <c r="M350" s="18" t="s">
        <v>172</v>
      </c>
      <c r="N350" s="18" t="s">
        <v>157</v>
      </c>
      <c r="O350" s="18" t="s">
        <v>163</v>
      </c>
      <c r="P350" s="18" t="s">
        <v>1076</v>
      </c>
      <c r="Q350" s="18">
        <f>IFERROR(MATCH(K350,Niveles!$B$2:$B$10,0),"")</f>
        <v>1</v>
      </c>
    </row>
    <row r="351" spans="1:17" x14ac:dyDescent="0.25">
      <c r="A351" s="18" t="s">
        <v>65</v>
      </c>
      <c r="B351" s="18">
        <v>1952</v>
      </c>
      <c r="C351" s="18" t="s">
        <v>1077</v>
      </c>
      <c r="D351" s="18"/>
      <c r="E351" s="18" t="s">
        <v>1078</v>
      </c>
      <c r="F351" s="18" t="s">
        <v>169</v>
      </c>
      <c r="G351" s="18"/>
      <c r="H351" s="18">
        <v>1951</v>
      </c>
      <c r="I351" s="18" t="s">
        <v>162</v>
      </c>
      <c r="J351" s="18" t="s">
        <v>980</v>
      </c>
      <c r="K351" s="18" t="s">
        <v>885</v>
      </c>
      <c r="L351" s="18" t="s">
        <v>254</v>
      </c>
      <c r="M351" s="18" t="s">
        <v>172</v>
      </c>
      <c r="N351" s="18" t="s">
        <v>157</v>
      </c>
      <c r="O351" s="18" t="s">
        <v>163</v>
      </c>
      <c r="P351" s="18" t="s">
        <v>1079</v>
      </c>
      <c r="Q351" s="18">
        <f>IFERROR(MATCH(K351,Niveles!$B$2:$B$10,0),"")</f>
        <v>1</v>
      </c>
    </row>
    <row r="352" spans="1:17" x14ac:dyDescent="0.25">
      <c r="A352" s="18" t="s">
        <v>65</v>
      </c>
      <c r="B352" s="18">
        <v>1952</v>
      </c>
      <c r="C352" s="18" t="s">
        <v>1080</v>
      </c>
      <c r="D352" s="18"/>
      <c r="E352" s="18" t="s">
        <v>1081</v>
      </c>
      <c r="F352" s="18" t="s">
        <v>169</v>
      </c>
      <c r="G352" s="18"/>
      <c r="H352" s="18">
        <v>2005</v>
      </c>
      <c r="I352" s="18" t="s">
        <v>162</v>
      </c>
      <c r="J352" s="18" t="s">
        <v>980</v>
      </c>
      <c r="K352" s="18" t="s">
        <v>885</v>
      </c>
      <c r="L352" s="18" t="s">
        <v>254</v>
      </c>
      <c r="M352" s="18" t="s">
        <v>172</v>
      </c>
      <c r="N352" s="18" t="s">
        <v>157</v>
      </c>
      <c r="O352" s="18" t="s">
        <v>163</v>
      </c>
      <c r="P352" s="18" t="s">
        <v>1082</v>
      </c>
      <c r="Q352" s="18">
        <f>IFERROR(MATCH(K352,Niveles!$B$2:$B$10,0),"")</f>
        <v>1</v>
      </c>
    </row>
    <row r="353" spans="1:17" x14ac:dyDescent="0.25">
      <c r="A353" s="18" t="s">
        <v>65</v>
      </c>
      <c r="B353" s="18">
        <v>1952</v>
      </c>
      <c r="C353" s="18" t="s">
        <v>1083</v>
      </c>
      <c r="D353" s="18"/>
      <c r="E353" s="18" t="s">
        <v>1084</v>
      </c>
      <c r="F353" s="18" t="s">
        <v>169</v>
      </c>
      <c r="G353" s="18"/>
      <c r="H353" s="18">
        <v>2050</v>
      </c>
      <c r="I353" s="18" t="s">
        <v>162</v>
      </c>
      <c r="J353" s="18" t="s">
        <v>980</v>
      </c>
      <c r="K353" s="18" t="s">
        <v>885</v>
      </c>
      <c r="L353" s="18" t="s">
        <v>254</v>
      </c>
      <c r="M353" s="18" t="s">
        <v>172</v>
      </c>
      <c r="N353" s="18" t="s">
        <v>157</v>
      </c>
      <c r="O353" s="18" t="s">
        <v>163</v>
      </c>
      <c r="P353" s="18" t="s">
        <v>1085</v>
      </c>
      <c r="Q353" s="18">
        <f>IFERROR(MATCH(K353,Niveles!$B$2:$B$10,0),"")</f>
        <v>1</v>
      </c>
    </row>
    <row r="354" spans="1:17" x14ac:dyDescent="0.25">
      <c r="A354" s="18" t="s">
        <v>65</v>
      </c>
      <c r="B354" s="18">
        <v>1952</v>
      </c>
      <c r="C354" s="18" t="s">
        <v>1086</v>
      </c>
      <c r="D354" s="18"/>
      <c r="E354" s="18" t="s">
        <v>1087</v>
      </c>
      <c r="F354" s="18" t="s">
        <v>169</v>
      </c>
      <c r="G354" s="18"/>
      <c r="H354" s="18">
        <v>2104</v>
      </c>
      <c r="I354" s="18" t="s">
        <v>162</v>
      </c>
      <c r="J354" s="18" t="s">
        <v>980</v>
      </c>
      <c r="K354" s="18" t="s">
        <v>885</v>
      </c>
      <c r="L354" s="18" t="s">
        <v>254</v>
      </c>
      <c r="M354" s="18" t="s">
        <v>172</v>
      </c>
      <c r="N354" s="18" t="s">
        <v>157</v>
      </c>
      <c r="O354" s="18" t="s">
        <v>163</v>
      </c>
      <c r="P354" s="18" t="s">
        <v>1088</v>
      </c>
      <c r="Q354" s="18">
        <f>IFERROR(MATCH(K354,Niveles!$B$2:$B$10,0),"")</f>
        <v>1</v>
      </c>
    </row>
    <row r="355" spans="1:17" x14ac:dyDescent="0.25">
      <c r="A355" s="18" t="s">
        <v>65</v>
      </c>
      <c r="B355" s="18">
        <v>1952</v>
      </c>
      <c r="C355" s="18" t="s">
        <v>1089</v>
      </c>
      <c r="D355" s="18"/>
      <c r="E355" s="18" t="s">
        <v>1090</v>
      </c>
      <c r="F355" s="18" t="s">
        <v>169</v>
      </c>
      <c r="G355" s="18"/>
      <c r="H355" s="18">
        <v>2216</v>
      </c>
      <c r="I355" s="18" t="s">
        <v>162</v>
      </c>
      <c r="J355" s="18" t="s">
        <v>980</v>
      </c>
      <c r="K355" s="18" t="s">
        <v>885</v>
      </c>
      <c r="L355" s="18" t="s">
        <v>254</v>
      </c>
      <c r="M355" s="18" t="s">
        <v>172</v>
      </c>
      <c r="N355" s="18" t="s">
        <v>157</v>
      </c>
      <c r="O355" s="18" t="s">
        <v>163</v>
      </c>
      <c r="P355" s="18" t="s">
        <v>1091</v>
      </c>
      <c r="Q355" s="18">
        <f>IFERROR(MATCH(K355,Niveles!$B$2:$B$10,0),"")</f>
        <v>1</v>
      </c>
    </row>
    <row r="356" spans="1:17" x14ac:dyDescent="0.25">
      <c r="A356" s="18" t="s">
        <v>65</v>
      </c>
      <c r="B356" s="18">
        <v>1952</v>
      </c>
      <c r="C356" s="18" t="s">
        <v>1092</v>
      </c>
      <c r="D356" s="18"/>
      <c r="E356" s="18" t="s">
        <v>1093</v>
      </c>
      <c r="F356" s="18" t="s">
        <v>169</v>
      </c>
      <c r="G356" s="18"/>
      <c r="H356" s="18">
        <v>2278</v>
      </c>
      <c r="I356" s="18" t="s">
        <v>162</v>
      </c>
      <c r="J356" s="18" t="s">
        <v>980</v>
      </c>
      <c r="K356" s="18" t="s">
        <v>885</v>
      </c>
      <c r="L356" s="18" t="s">
        <v>254</v>
      </c>
      <c r="M356" s="18" t="s">
        <v>172</v>
      </c>
      <c r="N356" s="18" t="s">
        <v>157</v>
      </c>
      <c r="O356" s="18" t="s">
        <v>163</v>
      </c>
      <c r="P356" s="18" t="s">
        <v>1094</v>
      </c>
      <c r="Q356" s="18">
        <f>IFERROR(MATCH(K356,Niveles!$B$2:$B$10,0),"")</f>
        <v>1</v>
      </c>
    </row>
    <row r="357" spans="1:17" x14ac:dyDescent="0.25">
      <c r="A357" s="18" t="s">
        <v>65</v>
      </c>
      <c r="B357" s="18">
        <v>1952</v>
      </c>
      <c r="C357" s="18" t="s">
        <v>1095</v>
      </c>
      <c r="D357" s="18"/>
      <c r="E357" s="18" t="s">
        <v>1096</v>
      </c>
      <c r="F357" s="18" t="s">
        <v>161</v>
      </c>
      <c r="G357" s="18"/>
      <c r="H357" s="18">
        <v>1056</v>
      </c>
      <c r="I357" s="18" t="s">
        <v>162</v>
      </c>
      <c r="J357" s="18" t="s">
        <v>1097</v>
      </c>
      <c r="K357" s="18" t="s">
        <v>125</v>
      </c>
      <c r="L357" s="18"/>
      <c r="M357" s="18" t="s">
        <v>172</v>
      </c>
      <c r="N357" s="18" t="s">
        <v>157</v>
      </c>
      <c r="O357" s="18" t="s">
        <v>163</v>
      </c>
      <c r="P357" s="18" t="s">
        <v>1098</v>
      </c>
      <c r="Q357" s="18">
        <f>IFERROR(MATCH(K357,Niveles!$B$2:$B$10,0),"")</f>
        <v>3</v>
      </c>
    </row>
    <row r="358" spans="1:17" x14ac:dyDescent="0.25">
      <c r="A358" s="18" t="s">
        <v>65</v>
      </c>
      <c r="B358" s="18">
        <v>1952</v>
      </c>
      <c r="C358" s="18" t="s">
        <v>1099</v>
      </c>
      <c r="D358" s="18" t="s">
        <v>112</v>
      </c>
      <c r="E358" s="18" t="s">
        <v>1100</v>
      </c>
      <c r="F358" s="18" t="s">
        <v>145</v>
      </c>
      <c r="G358" s="18" t="s">
        <v>121</v>
      </c>
      <c r="H358" s="18">
        <v>1085</v>
      </c>
      <c r="I358" s="18" t="s">
        <v>162</v>
      </c>
      <c r="J358" s="18" t="s">
        <v>980</v>
      </c>
      <c r="K358" s="18" t="s">
        <v>125</v>
      </c>
      <c r="L358" s="18" t="s">
        <v>981</v>
      </c>
      <c r="M358" s="18" t="s">
        <v>172</v>
      </c>
      <c r="N358" s="18" t="s">
        <v>162</v>
      </c>
      <c r="O358" s="18" t="s">
        <v>163</v>
      </c>
      <c r="P358" s="18" t="s">
        <v>1101</v>
      </c>
      <c r="Q358" s="18">
        <f>IFERROR(MATCH(K358,Niveles!$B$2:$B$10,0),"")</f>
        <v>3</v>
      </c>
    </row>
    <row r="359" spans="1:17" x14ac:dyDescent="0.25">
      <c r="A359" s="18" t="s">
        <v>65</v>
      </c>
      <c r="B359" s="18">
        <v>1952</v>
      </c>
      <c r="C359" s="18" t="s">
        <v>1099</v>
      </c>
      <c r="D359" s="18" t="s">
        <v>237</v>
      </c>
      <c r="E359" s="18" t="s">
        <v>1102</v>
      </c>
      <c r="F359" s="18" t="s">
        <v>145</v>
      </c>
      <c r="G359" s="18" t="s">
        <v>851</v>
      </c>
      <c r="H359" s="18">
        <v>1106</v>
      </c>
      <c r="I359" s="18" t="s">
        <v>162</v>
      </c>
      <c r="J359" s="18"/>
      <c r="K359" s="18"/>
      <c r="L359" s="18"/>
      <c r="M359" s="18"/>
      <c r="N359" s="18"/>
      <c r="O359" s="18" t="s">
        <v>163</v>
      </c>
      <c r="P359" s="18" t="s">
        <v>1101</v>
      </c>
      <c r="Q359" s="18" t="str">
        <f>IFERROR(MATCH(K359,Niveles!$B$2:$B$10,0),"")</f>
        <v/>
      </c>
    </row>
    <row r="360" spans="1:17" x14ac:dyDescent="0.25">
      <c r="A360" s="18" t="s">
        <v>65</v>
      </c>
      <c r="B360" s="18">
        <v>1952</v>
      </c>
      <c r="C360" s="18" t="s">
        <v>1099</v>
      </c>
      <c r="D360" s="18" t="s">
        <v>121</v>
      </c>
      <c r="E360" s="18" t="s">
        <v>1103</v>
      </c>
      <c r="F360" s="18" t="s">
        <v>145</v>
      </c>
      <c r="G360" s="18" t="s">
        <v>950</v>
      </c>
      <c r="H360" s="18">
        <v>1119</v>
      </c>
      <c r="I360" s="18" t="s">
        <v>162</v>
      </c>
      <c r="J360" s="18"/>
      <c r="K360" s="18"/>
      <c r="L360" s="18"/>
      <c r="M360" s="18"/>
      <c r="N360" s="18"/>
      <c r="O360" s="18" t="s">
        <v>163</v>
      </c>
      <c r="P360" s="18" t="s">
        <v>1101</v>
      </c>
      <c r="Q360" s="18" t="str">
        <f>IFERROR(MATCH(K360,Niveles!$B$2:$B$10,0),"")</f>
        <v/>
      </c>
    </row>
    <row r="361" spans="1:17" x14ac:dyDescent="0.25">
      <c r="A361" s="18" t="s">
        <v>65</v>
      </c>
      <c r="B361" s="18">
        <v>1952</v>
      </c>
      <c r="C361" s="18" t="s">
        <v>1099</v>
      </c>
      <c r="D361" s="18" t="s">
        <v>123</v>
      </c>
      <c r="E361" s="18" t="s">
        <v>1104</v>
      </c>
      <c r="F361" s="18" t="s">
        <v>145</v>
      </c>
      <c r="G361" s="18" t="s">
        <v>1105</v>
      </c>
      <c r="H361" s="18">
        <v>1135</v>
      </c>
      <c r="I361" s="18" t="s">
        <v>162</v>
      </c>
      <c r="J361" s="18"/>
      <c r="K361" s="18"/>
      <c r="L361" s="18"/>
      <c r="M361" s="18"/>
      <c r="N361" s="18"/>
      <c r="O361" s="18" t="s">
        <v>163</v>
      </c>
      <c r="P361" s="18" t="s">
        <v>1101</v>
      </c>
      <c r="Q361" s="18" t="str">
        <f>IFERROR(MATCH(K361,Niveles!$B$2:$B$10,0),"")</f>
        <v/>
      </c>
    </row>
    <row r="362" spans="1:17" x14ac:dyDescent="0.25">
      <c r="A362" s="18" t="s">
        <v>65</v>
      </c>
      <c r="B362" s="18">
        <v>1952</v>
      </c>
      <c r="C362" s="18" t="s">
        <v>1099</v>
      </c>
      <c r="D362" s="18" t="s">
        <v>113</v>
      </c>
      <c r="E362" s="18" t="s">
        <v>1106</v>
      </c>
      <c r="F362" s="18" t="s">
        <v>145</v>
      </c>
      <c r="G362" s="18" t="s">
        <v>1107</v>
      </c>
      <c r="H362" s="18">
        <v>1148</v>
      </c>
      <c r="I362" s="18" t="s">
        <v>162</v>
      </c>
      <c r="J362" s="18"/>
      <c r="K362" s="18"/>
      <c r="L362" s="18"/>
      <c r="M362" s="18"/>
      <c r="N362" s="18"/>
      <c r="O362" s="18" t="s">
        <v>163</v>
      </c>
      <c r="P362" s="18" t="s">
        <v>1101</v>
      </c>
      <c r="Q362" s="18" t="str">
        <f>IFERROR(MATCH(K362,Niveles!$B$2:$B$10,0),"")</f>
        <v/>
      </c>
    </row>
    <row r="363" spans="1:17" x14ac:dyDescent="0.25">
      <c r="A363" s="18" t="s">
        <v>65</v>
      </c>
      <c r="B363" s="18">
        <v>1952</v>
      </c>
      <c r="C363" s="18" t="s">
        <v>1099</v>
      </c>
      <c r="D363" s="18" t="s">
        <v>114</v>
      </c>
      <c r="E363" s="18" t="s">
        <v>1108</v>
      </c>
      <c r="F363" s="18" t="s">
        <v>145</v>
      </c>
      <c r="G363" s="18" t="s">
        <v>1109</v>
      </c>
      <c r="H363" s="18">
        <v>1157</v>
      </c>
      <c r="I363" s="18" t="s">
        <v>162</v>
      </c>
      <c r="J363" s="18"/>
      <c r="K363" s="18"/>
      <c r="L363" s="18"/>
      <c r="M363" s="18"/>
      <c r="N363" s="18"/>
      <c r="O363" s="18" t="s">
        <v>163</v>
      </c>
      <c r="P363" s="18" t="s">
        <v>1101</v>
      </c>
      <c r="Q363" s="18" t="str">
        <f>IFERROR(MATCH(K363,Niveles!$B$2:$B$10,0),"")</f>
        <v/>
      </c>
    </row>
    <row r="364" spans="1:17" x14ac:dyDescent="0.25">
      <c r="A364" s="18" t="s">
        <v>65</v>
      </c>
      <c r="B364" s="18">
        <v>1952</v>
      </c>
      <c r="C364" s="18" t="s">
        <v>1099</v>
      </c>
      <c r="D364" s="18" t="s">
        <v>118</v>
      </c>
      <c r="E364" s="18" t="s">
        <v>1110</v>
      </c>
      <c r="F364" s="18" t="s">
        <v>145</v>
      </c>
      <c r="G364" s="18" t="s">
        <v>1111</v>
      </c>
      <c r="H364" s="18">
        <v>1173</v>
      </c>
      <c r="I364" s="18" t="s">
        <v>162</v>
      </c>
      <c r="J364" s="18"/>
      <c r="K364" s="18"/>
      <c r="L364" s="18"/>
      <c r="M364" s="18"/>
      <c r="N364" s="18"/>
      <c r="O364" s="18" t="s">
        <v>163</v>
      </c>
      <c r="P364" s="18" t="s">
        <v>1101</v>
      </c>
      <c r="Q364" s="18" t="str">
        <f>IFERROR(MATCH(K364,Niveles!$B$2:$B$10,0),"")</f>
        <v/>
      </c>
    </row>
    <row r="365" spans="1:17" x14ac:dyDescent="0.25">
      <c r="A365" s="18" t="s">
        <v>65</v>
      </c>
      <c r="B365" s="18">
        <v>1952</v>
      </c>
      <c r="C365" s="18" t="s">
        <v>1099</v>
      </c>
      <c r="D365" s="18" t="s">
        <v>772</v>
      </c>
      <c r="E365" s="18" t="s">
        <v>1112</v>
      </c>
      <c r="F365" s="18" t="s">
        <v>145</v>
      </c>
      <c r="G365" s="18" t="s">
        <v>1113</v>
      </c>
      <c r="H365" s="18">
        <v>1189</v>
      </c>
      <c r="I365" s="18" t="s">
        <v>162</v>
      </c>
      <c r="J365" s="18"/>
      <c r="K365" s="18"/>
      <c r="L365" s="18"/>
      <c r="M365" s="18"/>
      <c r="N365" s="18"/>
      <c r="O365" s="18" t="s">
        <v>163</v>
      </c>
      <c r="P365" s="18" t="s">
        <v>1101</v>
      </c>
      <c r="Q365" s="18" t="str">
        <f>IFERROR(MATCH(K365,Niveles!$B$2:$B$10,0),"")</f>
        <v/>
      </c>
    </row>
    <row r="366" spans="1:17" x14ac:dyDescent="0.25">
      <c r="A366" s="18" t="s">
        <v>65</v>
      </c>
      <c r="B366" s="18">
        <v>1952</v>
      </c>
      <c r="C366" s="18" t="s">
        <v>1099</v>
      </c>
      <c r="D366" s="18" t="s">
        <v>115</v>
      </c>
      <c r="E366" s="18" t="s">
        <v>1114</v>
      </c>
      <c r="F366" s="18" t="s">
        <v>145</v>
      </c>
      <c r="G366" s="18" t="s">
        <v>987</v>
      </c>
      <c r="H366" s="18">
        <v>1205</v>
      </c>
      <c r="I366" s="18" t="s">
        <v>162</v>
      </c>
      <c r="J366" s="18"/>
      <c r="K366" s="18"/>
      <c r="L366" s="18"/>
      <c r="M366" s="18"/>
      <c r="N366" s="18"/>
      <c r="O366" s="18" t="s">
        <v>163</v>
      </c>
      <c r="P366" s="18" t="s">
        <v>1115</v>
      </c>
      <c r="Q366" s="18" t="str">
        <f>IFERROR(MATCH(K366,Niveles!$B$2:$B$10,0),"")</f>
        <v/>
      </c>
    </row>
    <row r="367" spans="1:17" x14ac:dyDescent="0.25">
      <c r="A367" s="18" t="s">
        <v>65</v>
      </c>
      <c r="B367" s="18">
        <v>1952</v>
      </c>
      <c r="C367" s="18" t="s">
        <v>1099</v>
      </c>
      <c r="D367" s="18" t="s">
        <v>122</v>
      </c>
      <c r="E367" s="18" t="s">
        <v>1116</v>
      </c>
      <c r="F367" s="18" t="s">
        <v>145</v>
      </c>
      <c r="G367" s="18" t="s">
        <v>1117</v>
      </c>
      <c r="H367" s="18">
        <v>1206</v>
      </c>
      <c r="I367" s="18" t="s">
        <v>162</v>
      </c>
      <c r="J367" s="18"/>
      <c r="K367" s="18"/>
      <c r="L367" s="18"/>
      <c r="M367" s="18"/>
      <c r="N367" s="18"/>
      <c r="O367" s="18" t="s">
        <v>163</v>
      </c>
      <c r="P367" s="18" t="s">
        <v>1115</v>
      </c>
      <c r="Q367" s="18" t="str">
        <f>IFERROR(MATCH(K367,Niveles!$B$2:$B$10,0),"")</f>
        <v/>
      </c>
    </row>
    <row r="368" spans="1:17" x14ac:dyDescent="0.25">
      <c r="A368" s="18" t="s">
        <v>65</v>
      </c>
      <c r="B368" s="18">
        <v>1952</v>
      </c>
      <c r="C368" s="18" t="s">
        <v>1099</v>
      </c>
      <c r="D368" s="18" t="s">
        <v>878</v>
      </c>
      <c r="E368" s="18" t="s">
        <v>1118</v>
      </c>
      <c r="F368" s="18" t="s">
        <v>145</v>
      </c>
      <c r="G368" s="18" t="s">
        <v>1119</v>
      </c>
      <c r="H368" s="18">
        <v>1207</v>
      </c>
      <c r="I368" s="18" t="s">
        <v>238</v>
      </c>
      <c r="J368" s="18"/>
      <c r="K368" s="18"/>
      <c r="L368" s="18"/>
      <c r="M368" s="18"/>
      <c r="N368" s="18"/>
      <c r="O368" s="18" t="s">
        <v>163</v>
      </c>
      <c r="P368" s="18" t="s">
        <v>1115</v>
      </c>
      <c r="Q368" s="18" t="str">
        <f>IFERROR(MATCH(K368,Niveles!$B$2:$B$10,0),"")</f>
        <v/>
      </c>
    </row>
    <row r="369" spans="1:17" x14ac:dyDescent="0.25">
      <c r="A369" s="18" t="s">
        <v>65</v>
      </c>
      <c r="B369" s="18">
        <v>1952</v>
      </c>
      <c r="C369" s="18" t="s">
        <v>1099</v>
      </c>
      <c r="D369" s="18" t="s">
        <v>880</v>
      </c>
      <c r="E369" s="18" t="s">
        <v>1120</v>
      </c>
      <c r="F369" s="18" t="s">
        <v>145</v>
      </c>
      <c r="G369" s="18" t="s">
        <v>1121</v>
      </c>
      <c r="H369" s="18">
        <v>1208</v>
      </c>
      <c r="I369" s="18" t="s">
        <v>238</v>
      </c>
      <c r="J369" s="18"/>
      <c r="K369" s="18"/>
      <c r="L369" s="18"/>
      <c r="M369" s="18"/>
      <c r="N369" s="18"/>
      <c r="O369" s="18" t="s">
        <v>163</v>
      </c>
      <c r="P369" s="18" t="s">
        <v>1115</v>
      </c>
      <c r="Q369" s="18" t="str">
        <f>IFERROR(MATCH(K369,Niveles!$B$2:$B$10,0),"")</f>
        <v/>
      </c>
    </row>
    <row r="370" spans="1:17" x14ac:dyDescent="0.25">
      <c r="A370" s="18" t="s">
        <v>65</v>
      </c>
      <c r="B370" s="18">
        <v>1952</v>
      </c>
      <c r="C370" s="18" t="s">
        <v>1099</v>
      </c>
      <c r="D370" s="18" t="s">
        <v>383</v>
      </c>
      <c r="E370" s="18" t="s">
        <v>1122</v>
      </c>
      <c r="F370" s="18" t="s">
        <v>145</v>
      </c>
      <c r="G370" s="18" t="s">
        <v>314</v>
      </c>
      <c r="H370" s="18">
        <v>1209</v>
      </c>
      <c r="I370" s="18" t="s">
        <v>238</v>
      </c>
      <c r="J370" s="18"/>
      <c r="K370" s="18"/>
      <c r="L370" s="18"/>
      <c r="M370" s="18"/>
      <c r="N370" s="18"/>
      <c r="O370" s="18" t="s">
        <v>163</v>
      </c>
      <c r="P370" s="18" t="s">
        <v>1115</v>
      </c>
      <c r="Q370" s="18" t="str">
        <f>IFERROR(MATCH(K370,Niveles!$B$2:$B$10,0),"")</f>
        <v/>
      </c>
    </row>
    <row r="371" spans="1:17" x14ac:dyDescent="0.25">
      <c r="A371" s="18" t="s">
        <v>65</v>
      </c>
      <c r="B371" s="18">
        <v>1952</v>
      </c>
      <c r="C371" s="18" t="s">
        <v>1099</v>
      </c>
      <c r="D371" s="18" t="s">
        <v>886</v>
      </c>
      <c r="E371" s="18" t="s">
        <v>1123</v>
      </c>
      <c r="F371" s="18" t="s">
        <v>145</v>
      </c>
      <c r="G371" s="18" t="s">
        <v>1124</v>
      </c>
      <c r="H371" s="18">
        <v>1210</v>
      </c>
      <c r="I371" s="18" t="s">
        <v>238</v>
      </c>
      <c r="J371" s="18"/>
      <c r="K371" s="18"/>
      <c r="L371" s="18"/>
      <c r="M371" s="18"/>
      <c r="N371" s="18"/>
      <c r="O371" s="18" t="s">
        <v>163</v>
      </c>
      <c r="P371" s="18" t="s">
        <v>1115</v>
      </c>
      <c r="Q371" s="18" t="str">
        <f>IFERROR(MATCH(K371,Niveles!$B$2:$B$10,0),"")</f>
        <v/>
      </c>
    </row>
    <row r="372" spans="1:17" x14ac:dyDescent="0.25">
      <c r="A372" s="18" t="s">
        <v>65</v>
      </c>
      <c r="B372" s="18">
        <v>1952</v>
      </c>
      <c r="C372" s="18" t="s">
        <v>1125</v>
      </c>
      <c r="D372" s="18" t="s">
        <v>112</v>
      </c>
      <c r="E372" s="18" t="s">
        <v>1100</v>
      </c>
      <c r="F372" s="18" t="s">
        <v>145</v>
      </c>
      <c r="G372" s="18" t="s">
        <v>1126</v>
      </c>
      <c r="H372" s="18">
        <v>1213</v>
      </c>
      <c r="I372" s="18" t="s">
        <v>162</v>
      </c>
      <c r="J372" s="18" t="s">
        <v>980</v>
      </c>
      <c r="K372" s="18" t="s">
        <v>125</v>
      </c>
      <c r="L372" s="18" t="s">
        <v>981</v>
      </c>
      <c r="M372" s="18" t="s">
        <v>172</v>
      </c>
      <c r="N372" s="18" t="s">
        <v>162</v>
      </c>
      <c r="O372" s="18" t="s">
        <v>163</v>
      </c>
      <c r="P372" s="18" t="s">
        <v>1101</v>
      </c>
      <c r="Q372" s="18">
        <f>IFERROR(MATCH(K372,Niveles!$B$2:$B$10,0),"")</f>
        <v>3</v>
      </c>
    </row>
    <row r="373" spans="1:17" x14ac:dyDescent="0.25">
      <c r="A373" s="18" t="s">
        <v>65</v>
      </c>
      <c r="B373" s="18">
        <v>1952</v>
      </c>
      <c r="C373" s="18" t="s">
        <v>1125</v>
      </c>
      <c r="D373" s="18" t="s">
        <v>237</v>
      </c>
      <c r="E373" s="18" t="s">
        <v>1102</v>
      </c>
      <c r="F373" s="18" t="s">
        <v>145</v>
      </c>
      <c r="G373" s="18" t="s">
        <v>1127</v>
      </c>
      <c r="H373" s="18">
        <v>1235</v>
      </c>
      <c r="I373" s="18" t="s">
        <v>162</v>
      </c>
      <c r="J373" s="18"/>
      <c r="K373" s="18"/>
      <c r="L373" s="18"/>
      <c r="M373" s="18"/>
      <c r="N373" s="18"/>
      <c r="O373" s="18" t="s">
        <v>163</v>
      </c>
      <c r="P373" s="18" t="s">
        <v>1101</v>
      </c>
      <c r="Q373" s="18" t="str">
        <f>IFERROR(MATCH(K373,Niveles!$B$2:$B$10,0),"")</f>
        <v/>
      </c>
    </row>
    <row r="374" spans="1:17" x14ac:dyDescent="0.25">
      <c r="A374" s="18" t="s">
        <v>65</v>
      </c>
      <c r="B374" s="18">
        <v>1952</v>
      </c>
      <c r="C374" s="18" t="s">
        <v>1125</v>
      </c>
      <c r="D374" s="18" t="s">
        <v>121</v>
      </c>
      <c r="E374" s="18" t="s">
        <v>1103</v>
      </c>
      <c r="F374" s="18" t="s">
        <v>145</v>
      </c>
      <c r="G374" s="18" t="s">
        <v>1128</v>
      </c>
      <c r="H374" s="18">
        <v>1248</v>
      </c>
      <c r="I374" s="18" t="s">
        <v>162</v>
      </c>
      <c r="J374" s="18"/>
      <c r="K374" s="18"/>
      <c r="L374" s="18"/>
      <c r="M374" s="18"/>
      <c r="N374" s="18"/>
      <c r="O374" s="18" t="s">
        <v>163</v>
      </c>
      <c r="P374" s="18" t="s">
        <v>1101</v>
      </c>
      <c r="Q374" s="18" t="str">
        <f>IFERROR(MATCH(K374,Niveles!$B$2:$B$10,0),"")</f>
        <v/>
      </c>
    </row>
    <row r="375" spans="1:17" x14ac:dyDescent="0.25">
      <c r="A375" s="18" t="s">
        <v>65</v>
      </c>
      <c r="B375" s="18">
        <v>1952</v>
      </c>
      <c r="C375" s="18" t="s">
        <v>1125</v>
      </c>
      <c r="D375" s="18" t="s">
        <v>123</v>
      </c>
      <c r="E375" s="18" t="s">
        <v>1104</v>
      </c>
      <c r="F375" s="18" t="s">
        <v>145</v>
      </c>
      <c r="G375" s="18" t="s">
        <v>1129</v>
      </c>
      <c r="H375" s="18">
        <v>1265</v>
      </c>
      <c r="I375" s="18" t="s">
        <v>162</v>
      </c>
      <c r="J375" s="18"/>
      <c r="K375" s="18"/>
      <c r="L375" s="18"/>
      <c r="M375" s="18"/>
      <c r="N375" s="18"/>
      <c r="O375" s="18" t="s">
        <v>163</v>
      </c>
      <c r="P375" s="18" t="s">
        <v>1101</v>
      </c>
      <c r="Q375" s="18" t="str">
        <f>IFERROR(MATCH(K375,Niveles!$B$2:$B$10,0),"")</f>
        <v/>
      </c>
    </row>
    <row r="376" spans="1:17" x14ac:dyDescent="0.25">
      <c r="A376" s="18" t="s">
        <v>65</v>
      </c>
      <c r="B376" s="18">
        <v>1952</v>
      </c>
      <c r="C376" s="18" t="s">
        <v>1125</v>
      </c>
      <c r="D376" s="18" t="s">
        <v>113</v>
      </c>
      <c r="E376" s="18" t="s">
        <v>1106</v>
      </c>
      <c r="F376" s="18" t="s">
        <v>145</v>
      </c>
      <c r="G376" s="18" t="s">
        <v>323</v>
      </c>
      <c r="H376" s="18">
        <v>1278</v>
      </c>
      <c r="I376" s="18" t="s">
        <v>162</v>
      </c>
      <c r="J376" s="18"/>
      <c r="K376" s="18"/>
      <c r="L376" s="18"/>
      <c r="M376" s="18"/>
      <c r="N376" s="18"/>
      <c r="O376" s="18" t="s">
        <v>163</v>
      </c>
      <c r="P376" s="18" t="s">
        <v>1101</v>
      </c>
      <c r="Q376" s="18" t="str">
        <f>IFERROR(MATCH(K376,Niveles!$B$2:$B$10,0),"")</f>
        <v/>
      </c>
    </row>
    <row r="377" spans="1:17" x14ac:dyDescent="0.25">
      <c r="A377" s="18" t="s">
        <v>65</v>
      </c>
      <c r="B377" s="18">
        <v>1952</v>
      </c>
      <c r="C377" s="18" t="s">
        <v>1125</v>
      </c>
      <c r="D377" s="18" t="s">
        <v>114</v>
      </c>
      <c r="E377" s="18" t="s">
        <v>1108</v>
      </c>
      <c r="F377" s="18" t="s">
        <v>145</v>
      </c>
      <c r="G377" s="18" t="s">
        <v>1130</v>
      </c>
      <c r="H377" s="18">
        <v>1287</v>
      </c>
      <c r="I377" s="18" t="s">
        <v>162</v>
      </c>
      <c r="J377" s="18"/>
      <c r="K377" s="18"/>
      <c r="L377" s="18"/>
      <c r="M377" s="18"/>
      <c r="N377" s="18"/>
      <c r="O377" s="18" t="s">
        <v>163</v>
      </c>
      <c r="P377" s="18" t="s">
        <v>1101</v>
      </c>
      <c r="Q377" s="18" t="str">
        <f>IFERROR(MATCH(K377,Niveles!$B$2:$B$10,0),"")</f>
        <v/>
      </c>
    </row>
    <row r="378" spans="1:17" x14ac:dyDescent="0.25">
      <c r="A378" s="18" t="s">
        <v>65</v>
      </c>
      <c r="B378" s="18">
        <v>1952</v>
      </c>
      <c r="C378" s="18" t="s">
        <v>1125</v>
      </c>
      <c r="D378" s="18" t="s">
        <v>118</v>
      </c>
      <c r="E378" s="18" t="s">
        <v>1110</v>
      </c>
      <c r="F378" s="18" t="s">
        <v>145</v>
      </c>
      <c r="G378" s="18" t="s">
        <v>282</v>
      </c>
      <c r="H378" s="18">
        <v>1304</v>
      </c>
      <c r="I378" s="18" t="s">
        <v>162</v>
      </c>
      <c r="J378" s="18"/>
      <c r="K378" s="18"/>
      <c r="L378" s="18"/>
      <c r="M378" s="18"/>
      <c r="N378" s="18"/>
      <c r="O378" s="18" t="s">
        <v>163</v>
      </c>
      <c r="P378" s="18" t="s">
        <v>1101</v>
      </c>
      <c r="Q378" s="18" t="str">
        <f>IFERROR(MATCH(K378,Niveles!$B$2:$B$10,0),"")</f>
        <v/>
      </c>
    </row>
    <row r="379" spans="1:17" x14ac:dyDescent="0.25">
      <c r="A379" s="18" t="s">
        <v>65</v>
      </c>
      <c r="B379" s="18">
        <v>1952</v>
      </c>
      <c r="C379" s="18" t="s">
        <v>1125</v>
      </c>
      <c r="D379" s="18" t="s">
        <v>772</v>
      </c>
      <c r="E379" s="18" t="s">
        <v>1112</v>
      </c>
      <c r="F379" s="18" t="s">
        <v>145</v>
      </c>
      <c r="G379" s="18" t="s">
        <v>1131</v>
      </c>
      <c r="H379" s="18">
        <v>1321</v>
      </c>
      <c r="I379" s="18" t="s">
        <v>162</v>
      </c>
      <c r="J379" s="18"/>
      <c r="K379" s="18"/>
      <c r="L379" s="18"/>
      <c r="M379" s="18"/>
      <c r="N379" s="18"/>
      <c r="O379" s="18" t="s">
        <v>163</v>
      </c>
      <c r="P379" s="18" t="s">
        <v>1101</v>
      </c>
      <c r="Q379" s="18" t="str">
        <f>IFERROR(MATCH(K379,Niveles!$B$2:$B$10,0),"")</f>
        <v/>
      </c>
    </row>
    <row r="380" spans="1:17" x14ac:dyDescent="0.25">
      <c r="A380" s="18" t="s">
        <v>65</v>
      </c>
      <c r="B380" s="18">
        <v>1952</v>
      </c>
      <c r="C380" s="18" t="s">
        <v>1125</v>
      </c>
      <c r="D380" s="18" t="s">
        <v>115</v>
      </c>
      <c r="E380" s="18" t="s">
        <v>1114</v>
      </c>
      <c r="F380" s="18" t="s">
        <v>145</v>
      </c>
      <c r="G380" s="18" t="s">
        <v>329</v>
      </c>
      <c r="H380" s="18">
        <v>1338</v>
      </c>
      <c r="I380" s="18" t="s">
        <v>162</v>
      </c>
      <c r="J380" s="18"/>
      <c r="K380" s="18"/>
      <c r="L380" s="18"/>
      <c r="M380" s="18"/>
      <c r="N380" s="18"/>
      <c r="O380" s="18" t="s">
        <v>163</v>
      </c>
      <c r="P380" s="18" t="s">
        <v>1115</v>
      </c>
      <c r="Q380" s="18" t="str">
        <f>IFERROR(MATCH(K380,Niveles!$B$2:$B$10,0),"")</f>
        <v/>
      </c>
    </row>
    <row r="381" spans="1:17" x14ac:dyDescent="0.25">
      <c r="A381" s="18" t="s">
        <v>65</v>
      </c>
      <c r="B381" s="18">
        <v>1952</v>
      </c>
      <c r="C381" s="18" t="s">
        <v>1125</v>
      </c>
      <c r="D381" s="18" t="s">
        <v>122</v>
      </c>
      <c r="E381" s="18" t="s">
        <v>1116</v>
      </c>
      <c r="F381" s="18" t="s">
        <v>145</v>
      </c>
      <c r="G381" s="18" t="s">
        <v>1132</v>
      </c>
      <c r="H381" s="18">
        <v>1339</v>
      </c>
      <c r="I381" s="18" t="s">
        <v>162</v>
      </c>
      <c r="J381" s="18"/>
      <c r="K381" s="18"/>
      <c r="L381" s="18"/>
      <c r="M381" s="18"/>
      <c r="N381" s="18"/>
      <c r="O381" s="18" t="s">
        <v>163</v>
      </c>
      <c r="P381" s="18" t="s">
        <v>1115</v>
      </c>
      <c r="Q381" s="18" t="str">
        <f>IFERROR(MATCH(K381,Niveles!$B$2:$B$10,0),"")</f>
        <v/>
      </c>
    </row>
    <row r="382" spans="1:17" x14ac:dyDescent="0.25">
      <c r="A382" s="18" t="s">
        <v>65</v>
      </c>
      <c r="B382" s="18">
        <v>1952</v>
      </c>
      <c r="C382" s="18" t="s">
        <v>1125</v>
      </c>
      <c r="D382" s="18" t="s">
        <v>878</v>
      </c>
      <c r="E382" s="18" t="s">
        <v>1118</v>
      </c>
      <c r="F382" s="18" t="s">
        <v>145</v>
      </c>
      <c r="G382" s="18" t="s">
        <v>1045</v>
      </c>
      <c r="H382" s="18">
        <v>1340</v>
      </c>
      <c r="I382" s="18" t="s">
        <v>162</v>
      </c>
      <c r="J382" s="18"/>
      <c r="K382" s="18"/>
      <c r="L382" s="18"/>
      <c r="M382" s="18"/>
      <c r="N382" s="18"/>
      <c r="O382" s="18" t="s">
        <v>163</v>
      </c>
      <c r="P382" s="18" t="s">
        <v>1115</v>
      </c>
      <c r="Q382" s="18" t="str">
        <f>IFERROR(MATCH(K382,Niveles!$B$2:$B$10,0),"")</f>
        <v/>
      </c>
    </row>
    <row r="383" spans="1:17" x14ac:dyDescent="0.25">
      <c r="A383" s="18" t="s">
        <v>65</v>
      </c>
      <c r="B383" s="18">
        <v>1952</v>
      </c>
      <c r="C383" s="18" t="s">
        <v>1125</v>
      </c>
      <c r="D383" s="18" t="s">
        <v>880</v>
      </c>
      <c r="E383" s="18" t="s">
        <v>1120</v>
      </c>
      <c r="F383" s="18" t="s">
        <v>145</v>
      </c>
      <c r="G383" s="18" t="s">
        <v>1133</v>
      </c>
      <c r="H383" s="18">
        <v>1341</v>
      </c>
      <c r="I383" s="18" t="s">
        <v>162</v>
      </c>
      <c r="J383" s="18"/>
      <c r="K383" s="18"/>
      <c r="L383" s="18"/>
      <c r="M383" s="18"/>
      <c r="N383" s="18"/>
      <c r="O383" s="18" t="s">
        <v>163</v>
      </c>
      <c r="P383" s="18" t="s">
        <v>1115</v>
      </c>
      <c r="Q383" s="18" t="str">
        <f>IFERROR(MATCH(K383,Niveles!$B$2:$B$10,0),"")</f>
        <v/>
      </c>
    </row>
    <row r="384" spans="1:17" x14ac:dyDescent="0.25">
      <c r="A384" s="18" t="s">
        <v>65</v>
      </c>
      <c r="B384" s="18">
        <v>1952</v>
      </c>
      <c r="C384" s="18" t="s">
        <v>1125</v>
      </c>
      <c r="D384" s="18" t="s">
        <v>383</v>
      </c>
      <c r="E384" s="18" t="s">
        <v>1122</v>
      </c>
      <c r="F384" s="18" t="s">
        <v>145</v>
      </c>
      <c r="G384" s="18" t="s">
        <v>678</v>
      </c>
      <c r="H384" s="18">
        <v>1342</v>
      </c>
      <c r="I384" s="18" t="s">
        <v>162</v>
      </c>
      <c r="J384" s="18"/>
      <c r="K384" s="18"/>
      <c r="L384" s="18"/>
      <c r="M384" s="18"/>
      <c r="N384" s="18"/>
      <c r="O384" s="18" t="s">
        <v>163</v>
      </c>
      <c r="P384" s="18" t="s">
        <v>1115</v>
      </c>
      <c r="Q384" s="18" t="str">
        <f>IFERROR(MATCH(K384,Niveles!$B$2:$B$10,0),"")</f>
        <v/>
      </c>
    </row>
    <row r="385" spans="1:17" x14ac:dyDescent="0.25">
      <c r="A385" s="18" t="s">
        <v>65</v>
      </c>
      <c r="B385" s="18">
        <v>1952</v>
      </c>
      <c r="C385" s="18" t="s">
        <v>1125</v>
      </c>
      <c r="D385" s="18" t="s">
        <v>886</v>
      </c>
      <c r="E385" s="18" t="s">
        <v>1123</v>
      </c>
      <c r="F385" s="18" t="s">
        <v>145</v>
      </c>
      <c r="G385" s="18" t="s">
        <v>1134</v>
      </c>
      <c r="H385" s="18">
        <v>1343</v>
      </c>
      <c r="I385" s="18" t="s">
        <v>162</v>
      </c>
      <c r="J385" s="18"/>
      <c r="K385" s="18"/>
      <c r="L385" s="18"/>
      <c r="M385" s="18"/>
      <c r="N385" s="18"/>
      <c r="O385" s="18" t="s">
        <v>163</v>
      </c>
      <c r="P385" s="18" t="s">
        <v>1115</v>
      </c>
      <c r="Q385" s="18" t="str">
        <f>IFERROR(MATCH(K385,Niveles!$B$2:$B$10,0),"")</f>
        <v/>
      </c>
    </row>
    <row r="386" spans="1:17" x14ac:dyDescent="0.25">
      <c r="A386" s="18" t="s">
        <v>65</v>
      </c>
      <c r="B386" s="18">
        <v>1952</v>
      </c>
      <c r="C386" s="18" t="s">
        <v>1135</v>
      </c>
      <c r="D386" s="18" t="s">
        <v>112</v>
      </c>
      <c r="E386" s="18" t="s">
        <v>1100</v>
      </c>
      <c r="F386" s="18" t="s">
        <v>145</v>
      </c>
      <c r="G386" s="18" t="s">
        <v>1136</v>
      </c>
      <c r="H386" s="18">
        <v>1345</v>
      </c>
      <c r="I386" s="18" t="s">
        <v>162</v>
      </c>
      <c r="J386" s="18" t="s">
        <v>980</v>
      </c>
      <c r="K386" s="18" t="s">
        <v>125</v>
      </c>
      <c r="L386" s="18" t="s">
        <v>981</v>
      </c>
      <c r="M386" s="18" t="s">
        <v>172</v>
      </c>
      <c r="N386" s="18" t="s">
        <v>162</v>
      </c>
      <c r="O386" s="18" t="s">
        <v>163</v>
      </c>
      <c r="P386" s="18" t="s">
        <v>1101</v>
      </c>
      <c r="Q386" s="18">
        <f>IFERROR(MATCH(K386,Niveles!$B$2:$B$10,0),"")</f>
        <v>3</v>
      </c>
    </row>
    <row r="387" spans="1:17" x14ac:dyDescent="0.25">
      <c r="A387" s="18" t="s">
        <v>65</v>
      </c>
      <c r="B387" s="18">
        <v>1952</v>
      </c>
      <c r="C387" s="18" t="s">
        <v>1135</v>
      </c>
      <c r="D387" s="18" t="s">
        <v>237</v>
      </c>
      <c r="E387" s="18" t="s">
        <v>1102</v>
      </c>
      <c r="F387" s="18" t="s">
        <v>145</v>
      </c>
      <c r="G387" s="18" t="s">
        <v>1137</v>
      </c>
      <c r="H387" s="18">
        <v>1398</v>
      </c>
      <c r="I387" s="18" t="s">
        <v>162</v>
      </c>
      <c r="J387" s="18"/>
      <c r="K387" s="18"/>
      <c r="L387" s="18"/>
      <c r="M387" s="18"/>
      <c r="N387" s="18"/>
      <c r="O387" s="18" t="s">
        <v>163</v>
      </c>
      <c r="P387" s="18" t="s">
        <v>1101</v>
      </c>
      <c r="Q387" s="18" t="str">
        <f>IFERROR(MATCH(K387,Niveles!$B$2:$B$10,0),"")</f>
        <v/>
      </c>
    </row>
    <row r="388" spans="1:17" x14ac:dyDescent="0.25">
      <c r="A388" s="18" t="s">
        <v>65</v>
      </c>
      <c r="B388" s="18">
        <v>1952</v>
      </c>
      <c r="C388" s="18" t="s">
        <v>1135</v>
      </c>
      <c r="D388" s="18" t="s">
        <v>121</v>
      </c>
      <c r="E388" s="18" t="s">
        <v>1103</v>
      </c>
      <c r="F388" s="18" t="s">
        <v>145</v>
      </c>
      <c r="G388" s="18" t="s">
        <v>1138</v>
      </c>
      <c r="H388" s="18">
        <v>1430</v>
      </c>
      <c r="I388" s="18" t="s">
        <v>162</v>
      </c>
      <c r="J388" s="18"/>
      <c r="K388" s="18"/>
      <c r="L388" s="18"/>
      <c r="M388" s="18"/>
      <c r="N388" s="18"/>
      <c r="O388" s="18" t="s">
        <v>163</v>
      </c>
      <c r="P388" s="18" t="s">
        <v>1101</v>
      </c>
      <c r="Q388" s="18" t="str">
        <f>IFERROR(MATCH(K388,Niveles!$B$2:$B$10,0),"")</f>
        <v/>
      </c>
    </row>
    <row r="389" spans="1:17" x14ac:dyDescent="0.25">
      <c r="A389" s="18" t="s">
        <v>65</v>
      </c>
      <c r="B389" s="18">
        <v>1952</v>
      </c>
      <c r="C389" s="18" t="s">
        <v>1135</v>
      </c>
      <c r="D389" s="18" t="s">
        <v>123</v>
      </c>
      <c r="E389" s="18" t="s">
        <v>1104</v>
      </c>
      <c r="F389" s="18" t="s">
        <v>145</v>
      </c>
      <c r="G389" s="18" t="s">
        <v>1139</v>
      </c>
      <c r="H389" s="18">
        <v>1471</v>
      </c>
      <c r="I389" s="18" t="s">
        <v>162</v>
      </c>
      <c r="J389" s="18"/>
      <c r="K389" s="18"/>
      <c r="L389" s="18"/>
      <c r="M389" s="18"/>
      <c r="N389" s="18"/>
      <c r="O389" s="18" t="s">
        <v>163</v>
      </c>
      <c r="P389" s="18" t="s">
        <v>1101</v>
      </c>
      <c r="Q389" s="18" t="str">
        <f>IFERROR(MATCH(K389,Niveles!$B$2:$B$10,0),"")</f>
        <v/>
      </c>
    </row>
    <row r="390" spans="1:17" x14ac:dyDescent="0.25">
      <c r="A390" s="18" t="s">
        <v>65</v>
      </c>
      <c r="B390" s="18">
        <v>1952</v>
      </c>
      <c r="C390" s="18" t="s">
        <v>1135</v>
      </c>
      <c r="D390" s="18" t="s">
        <v>113</v>
      </c>
      <c r="E390" s="18" t="s">
        <v>1106</v>
      </c>
      <c r="F390" s="18" t="s">
        <v>145</v>
      </c>
      <c r="G390" s="18" t="s">
        <v>1140</v>
      </c>
      <c r="H390" s="18">
        <v>1512</v>
      </c>
      <c r="I390" s="18" t="s">
        <v>162</v>
      </c>
      <c r="J390" s="18"/>
      <c r="K390" s="18"/>
      <c r="L390" s="18"/>
      <c r="M390" s="18"/>
      <c r="N390" s="18"/>
      <c r="O390" s="18" t="s">
        <v>163</v>
      </c>
      <c r="P390" s="18" t="s">
        <v>1101</v>
      </c>
      <c r="Q390" s="18" t="str">
        <f>IFERROR(MATCH(K390,Niveles!$B$2:$B$10,0),"")</f>
        <v/>
      </c>
    </row>
    <row r="391" spans="1:17" x14ac:dyDescent="0.25">
      <c r="A391" s="18" t="s">
        <v>65</v>
      </c>
      <c r="B391" s="18">
        <v>1952</v>
      </c>
      <c r="C391" s="18" t="s">
        <v>1135</v>
      </c>
      <c r="D391" s="18" t="s">
        <v>114</v>
      </c>
      <c r="E391" s="18" t="s">
        <v>1108</v>
      </c>
      <c r="F391" s="18" t="s">
        <v>145</v>
      </c>
      <c r="G391" s="18" t="s">
        <v>1141</v>
      </c>
      <c r="H391" s="18">
        <v>1534</v>
      </c>
      <c r="I391" s="18" t="s">
        <v>162</v>
      </c>
      <c r="J391" s="18"/>
      <c r="K391" s="18"/>
      <c r="L391" s="18"/>
      <c r="M391" s="18"/>
      <c r="N391" s="18"/>
      <c r="O391" s="18" t="s">
        <v>163</v>
      </c>
      <c r="P391" s="18" t="s">
        <v>1101</v>
      </c>
      <c r="Q391" s="18" t="str">
        <f>IFERROR(MATCH(K391,Niveles!$B$2:$B$10,0),"")</f>
        <v/>
      </c>
    </row>
    <row r="392" spans="1:17" x14ac:dyDescent="0.25">
      <c r="A392" s="18" t="s">
        <v>65</v>
      </c>
      <c r="B392" s="18">
        <v>1952</v>
      </c>
      <c r="C392" s="18" t="s">
        <v>1135</v>
      </c>
      <c r="D392" s="18" t="s">
        <v>118</v>
      </c>
      <c r="E392" s="18" t="s">
        <v>1110</v>
      </c>
      <c r="F392" s="18" t="s">
        <v>145</v>
      </c>
      <c r="G392" s="18" t="s">
        <v>640</v>
      </c>
      <c r="H392" s="18">
        <v>1575</v>
      </c>
      <c r="I392" s="18" t="s">
        <v>162</v>
      </c>
      <c r="J392" s="18"/>
      <c r="K392" s="18"/>
      <c r="L392" s="18"/>
      <c r="M392" s="18"/>
      <c r="N392" s="18"/>
      <c r="O392" s="18" t="s">
        <v>163</v>
      </c>
      <c r="P392" s="18" t="s">
        <v>1101</v>
      </c>
      <c r="Q392" s="18" t="str">
        <f>IFERROR(MATCH(K392,Niveles!$B$2:$B$10,0),"")</f>
        <v/>
      </c>
    </row>
    <row r="393" spans="1:17" x14ac:dyDescent="0.25">
      <c r="A393" s="18" t="s">
        <v>65</v>
      </c>
      <c r="B393" s="18">
        <v>1952</v>
      </c>
      <c r="C393" s="18" t="s">
        <v>1135</v>
      </c>
      <c r="D393" s="18" t="s">
        <v>772</v>
      </c>
      <c r="E393" s="18" t="s">
        <v>1112</v>
      </c>
      <c r="F393" s="18" t="s">
        <v>145</v>
      </c>
      <c r="G393" s="18" t="s">
        <v>1142</v>
      </c>
      <c r="H393" s="18">
        <v>1616</v>
      </c>
      <c r="I393" s="18" t="s">
        <v>162</v>
      </c>
      <c r="J393" s="18"/>
      <c r="K393" s="18"/>
      <c r="L393" s="18"/>
      <c r="M393" s="18"/>
      <c r="N393" s="18"/>
      <c r="O393" s="18" t="s">
        <v>163</v>
      </c>
      <c r="P393" s="18" t="s">
        <v>1101</v>
      </c>
      <c r="Q393" s="18" t="str">
        <f>IFERROR(MATCH(K393,Niveles!$B$2:$B$10,0),"")</f>
        <v/>
      </c>
    </row>
    <row r="394" spans="1:17" x14ac:dyDescent="0.25">
      <c r="A394" s="18" t="s">
        <v>65</v>
      </c>
      <c r="B394" s="18">
        <v>1952</v>
      </c>
      <c r="C394" s="18" t="s">
        <v>1135</v>
      </c>
      <c r="D394" s="18" t="s">
        <v>115</v>
      </c>
      <c r="E394" s="18" t="s">
        <v>1114</v>
      </c>
      <c r="F394" s="18" t="s">
        <v>145</v>
      </c>
      <c r="G394" s="18" t="s">
        <v>1143</v>
      </c>
      <c r="H394" s="18">
        <v>1657</v>
      </c>
      <c r="I394" s="18" t="s">
        <v>162</v>
      </c>
      <c r="J394" s="18"/>
      <c r="K394" s="18"/>
      <c r="L394" s="18"/>
      <c r="M394" s="18"/>
      <c r="N394" s="18"/>
      <c r="O394" s="18" t="s">
        <v>163</v>
      </c>
      <c r="P394" s="18" t="s">
        <v>1115</v>
      </c>
      <c r="Q394" s="18" t="str">
        <f>IFERROR(MATCH(K394,Niveles!$B$2:$B$10,0),"")</f>
        <v/>
      </c>
    </row>
    <row r="395" spans="1:17" x14ac:dyDescent="0.25">
      <c r="A395" s="18" t="s">
        <v>65</v>
      </c>
      <c r="B395" s="18">
        <v>1952</v>
      </c>
      <c r="C395" s="18" t="s">
        <v>1135</v>
      </c>
      <c r="D395" s="18" t="s">
        <v>122</v>
      </c>
      <c r="E395" s="18" t="s">
        <v>1116</v>
      </c>
      <c r="F395" s="18" t="s">
        <v>145</v>
      </c>
      <c r="G395" s="18" t="s">
        <v>1144</v>
      </c>
      <c r="H395" s="18">
        <v>1658</v>
      </c>
      <c r="I395" s="18" t="s">
        <v>162</v>
      </c>
      <c r="J395" s="18"/>
      <c r="K395" s="18"/>
      <c r="L395" s="18"/>
      <c r="M395" s="18"/>
      <c r="N395" s="18"/>
      <c r="O395" s="18" t="s">
        <v>163</v>
      </c>
      <c r="P395" s="18" t="s">
        <v>1115</v>
      </c>
      <c r="Q395" s="18" t="str">
        <f>IFERROR(MATCH(K395,Niveles!$B$2:$B$10,0),"")</f>
        <v/>
      </c>
    </row>
    <row r="396" spans="1:17" x14ac:dyDescent="0.25">
      <c r="A396" s="18" t="s">
        <v>65</v>
      </c>
      <c r="B396" s="18">
        <v>1952</v>
      </c>
      <c r="C396" s="18" t="s">
        <v>1135</v>
      </c>
      <c r="D396" s="18" t="s">
        <v>878</v>
      </c>
      <c r="E396" s="18" t="s">
        <v>1118</v>
      </c>
      <c r="F396" s="18" t="s">
        <v>145</v>
      </c>
      <c r="G396" s="18" t="s">
        <v>1145</v>
      </c>
      <c r="H396" s="18">
        <v>1659</v>
      </c>
      <c r="I396" s="18" t="s">
        <v>162</v>
      </c>
      <c r="J396" s="18"/>
      <c r="K396" s="18"/>
      <c r="L396" s="18"/>
      <c r="M396" s="18"/>
      <c r="N396" s="18"/>
      <c r="O396" s="18" t="s">
        <v>163</v>
      </c>
      <c r="P396" s="18" t="s">
        <v>1115</v>
      </c>
      <c r="Q396" s="18" t="str">
        <f>IFERROR(MATCH(K396,Niveles!$B$2:$B$10,0),"")</f>
        <v/>
      </c>
    </row>
    <row r="397" spans="1:17" x14ac:dyDescent="0.25">
      <c r="A397" s="18" t="s">
        <v>65</v>
      </c>
      <c r="B397" s="18">
        <v>1952</v>
      </c>
      <c r="C397" s="18" t="s">
        <v>1135</v>
      </c>
      <c r="D397" s="18" t="s">
        <v>880</v>
      </c>
      <c r="E397" s="18" t="s">
        <v>1120</v>
      </c>
      <c r="F397" s="18" t="s">
        <v>145</v>
      </c>
      <c r="G397" s="18" t="s">
        <v>1146</v>
      </c>
      <c r="H397" s="18">
        <v>1660</v>
      </c>
      <c r="I397" s="18" t="s">
        <v>162</v>
      </c>
      <c r="J397" s="18"/>
      <c r="K397" s="18"/>
      <c r="L397" s="18"/>
      <c r="M397" s="18"/>
      <c r="N397" s="18"/>
      <c r="O397" s="18" t="s">
        <v>163</v>
      </c>
      <c r="P397" s="18" t="s">
        <v>1115</v>
      </c>
      <c r="Q397" s="18" t="str">
        <f>IFERROR(MATCH(K397,Niveles!$B$2:$B$10,0),"")</f>
        <v/>
      </c>
    </row>
    <row r="398" spans="1:17" x14ac:dyDescent="0.25">
      <c r="A398" s="18" t="s">
        <v>65</v>
      </c>
      <c r="B398" s="18">
        <v>1952</v>
      </c>
      <c r="C398" s="18" t="s">
        <v>1135</v>
      </c>
      <c r="D398" s="18" t="s">
        <v>383</v>
      </c>
      <c r="E398" s="18" t="s">
        <v>1122</v>
      </c>
      <c r="F398" s="18" t="s">
        <v>145</v>
      </c>
      <c r="G398" s="18" t="s">
        <v>1147</v>
      </c>
      <c r="H398" s="18">
        <v>1661</v>
      </c>
      <c r="I398" s="18" t="s">
        <v>162</v>
      </c>
      <c r="J398" s="18"/>
      <c r="K398" s="18"/>
      <c r="L398" s="18"/>
      <c r="M398" s="18"/>
      <c r="N398" s="18"/>
      <c r="O398" s="18" t="s">
        <v>163</v>
      </c>
      <c r="P398" s="18" t="s">
        <v>1115</v>
      </c>
      <c r="Q398" s="18" t="str">
        <f>IFERROR(MATCH(K398,Niveles!$B$2:$B$10,0),"")</f>
        <v/>
      </c>
    </row>
    <row r="399" spans="1:17" x14ac:dyDescent="0.25">
      <c r="A399" s="18" t="s">
        <v>65</v>
      </c>
      <c r="B399" s="18">
        <v>1952</v>
      </c>
      <c r="C399" s="18" t="s">
        <v>1135</v>
      </c>
      <c r="D399" s="18" t="s">
        <v>886</v>
      </c>
      <c r="E399" s="18" t="s">
        <v>1123</v>
      </c>
      <c r="F399" s="18" t="s">
        <v>145</v>
      </c>
      <c r="G399" s="18" t="s">
        <v>1148</v>
      </c>
      <c r="H399" s="18">
        <v>1662</v>
      </c>
      <c r="I399" s="18" t="s">
        <v>162</v>
      </c>
      <c r="J399" s="18"/>
      <c r="K399" s="18"/>
      <c r="L399" s="18"/>
      <c r="M399" s="18"/>
      <c r="N399" s="18"/>
      <c r="O399" s="18" t="s">
        <v>163</v>
      </c>
      <c r="P399" s="18" t="s">
        <v>1115</v>
      </c>
      <c r="Q399" s="18" t="str">
        <f>IFERROR(MATCH(K399,Niveles!$B$2:$B$10,0),"")</f>
        <v/>
      </c>
    </row>
    <row r="400" spans="1:17" x14ac:dyDescent="0.25">
      <c r="A400" s="18" t="s">
        <v>65</v>
      </c>
      <c r="B400" s="18">
        <v>1952</v>
      </c>
      <c r="C400" s="18" t="s">
        <v>1149</v>
      </c>
      <c r="D400" s="18" t="s">
        <v>112</v>
      </c>
      <c r="E400" s="18" t="s">
        <v>1100</v>
      </c>
      <c r="F400" s="18" t="s">
        <v>145</v>
      </c>
      <c r="G400" s="18" t="s">
        <v>1150</v>
      </c>
      <c r="H400" s="18">
        <v>1664</v>
      </c>
      <c r="I400" s="18" t="s">
        <v>162</v>
      </c>
      <c r="J400" s="18" t="s">
        <v>980</v>
      </c>
      <c r="K400" s="18" t="s">
        <v>125</v>
      </c>
      <c r="L400" s="18" t="s">
        <v>981</v>
      </c>
      <c r="M400" s="18" t="s">
        <v>172</v>
      </c>
      <c r="N400" s="18" t="s">
        <v>162</v>
      </c>
      <c r="O400" s="18" t="s">
        <v>163</v>
      </c>
      <c r="P400" s="18" t="s">
        <v>1101</v>
      </c>
      <c r="Q400" s="18">
        <f>IFERROR(MATCH(K400,Niveles!$B$2:$B$10,0),"")</f>
        <v>3</v>
      </c>
    </row>
    <row r="401" spans="1:17" x14ac:dyDescent="0.25">
      <c r="A401" s="18" t="s">
        <v>65</v>
      </c>
      <c r="B401" s="18">
        <v>1952</v>
      </c>
      <c r="C401" s="18" t="s">
        <v>1149</v>
      </c>
      <c r="D401" s="18" t="s">
        <v>237</v>
      </c>
      <c r="E401" s="18" t="s">
        <v>1102</v>
      </c>
      <c r="F401" s="18" t="s">
        <v>145</v>
      </c>
      <c r="G401" s="18" t="s">
        <v>1151</v>
      </c>
      <c r="H401" s="18">
        <v>1689</v>
      </c>
      <c r="I401" s="18" t="s">
        <v>162</v>
      </c>
      <c r="J401" s="18"/>
      <c r="K401" s="18"/>
      <c r="L401" s="18"/>
      <c r="M401" s="18"/>
      <c r="N401" s="18"/>
      <c r="O401" s="18" t="s">
        <v>163</v>
      </c>
      <c r="P401" s="18" t="s">
        <v>1101</v>
      </c>
      <c r="Q401" s="18" t="str">
        <f>IFERROR(MATCH(K401,Niveles!$B$2:$B$10,0),"")</f>
        <v/>
      </c>
    </row>
    <row r="402" spans="1:17" x14ac:dyDescent="0.25">
      <c r="A402" s="18" t="s">
        <v>65</v>
      </c>
      <c r="B402" s="18">
        <v>1952</v>
      </c>
      <c r="C402" s="18" t="s">
        <v>1149</v>
      </c>
      <c r="D402" s="18" t="s">
        <v>121</v>
      </c>
      <c r="E402" s="18" t="s">
        <v>1103</v>
      </c>
      <c r="F402" s="18" t="s">
        <v>145</v>
      </c>
      <c r="G402" s="18" t="s">
        <v>439</v>
      </c>
      <c r="H402" s="18">
        <v>1703</v>
      </c>
      <c r="I402" s="18" t="s">
        <v>162</v>
      </c>
      <c r="J402" s="18"/>
      <c r="K402" s="18"/>
      <c r="L402" s="18"/>
      <c r="M402" s="18"/>
      <c r="N402" s="18"/>
      <c r="O402" s="18" t="s">
        <v>163</v>
      </c>
      <c r="P402" s="18" t="s">
        <v>1101</v>
      </c>
      <c r="Q402" s="18" t="str">
        <f>IFERROR(MATCH(K402,Niveles!$B$2:$B$10,0),"")</f>
        <v/>
      </c>
    </row>
    <row r="403" spans="1:17" x14ac:dyDescent="0.25">
      <c r="A403" s="18" t="s">
        <v>65</v>
      </c>
      <c r="B403" s="18">
        <v>1952</v>
      </c>
      <c r="C403" s="18" t="s">
        <v>1149</v>
      </c>
      <c r="D403" s="18" t="s">
        <v>123</v>
      </c>
      <c r="E403" s="18" t="s">
        <v>1104</v>
      </c>
      <c r="F403" s="18" t="s">
        <v>145</v>
      </c>
      <c r="G403" s="18" t="s">
        <v>1152</v>
      </c>
      <c r="H403" s="18">
        <v>1721</v>
      </c>
      <c r="I403" s="18" t="s">
        <v>162</v>
      </c>
      <c r="J403" s="18"/>
      <c r="K403" s="18"/>
      <c r="L403" s="18"/>
      <c r="M403" s="18"/>
      <c r="N403" s="18"/>
      <c r="O403" s="18" t="s">
        <v>163</v>
      </c>
      <c r="P403" s="18" t="s">
        <v>1101</v>
      </c>
      <c r="Q403" s="18" t="str">
        <f>IFERROR(MATCH(K403,Niveles!$B$2:$B$10,0),"")</f>
        <v/>
      </c>
    </row>
    <row r="404" spans="1:17" x14ac:dyDescent="0.25">
      <c r="A404" s="18" t="s">
        <v>65</v>
      </c>
      <c r="B404" s="18">
        <v>1952</v>
      </c>
      <c r="C404" s="18" t="s">
        <v>1149</v>
      </c>
      <c r="D404" s="18" t="s">
        <v>113</v>
      </c>
      <c r="E404" s="18" t="s">
        <v>1106</v>
      </c>
      <c r="F404" s="18" t="s">
        <v>145</v>
      </c>
      <c r="G404" s="18" t="s">
        <v>1153</v>
      </c>
      <c r="H404" s="18">
        <v>1740</v>
      </c>
      <c r="I404" s="18" t="s">
        <v>162</v>
      </c>
      <c r="J404" s="18"/>
      <c r="K404" s="18"/>
      <c r="L404" s="18"/>
      <c r="M404" s="18"/>
      <c r="N404" s="18"/>
      <c r="O404" s="18" t="s">
        <v>163</v>
      </c>
      <c r="P404" s="18" t="s">
        <v>1101</v>
      </c>
      <c r="Q404" s="18" t="str">
        <f>IFERROR(MATCH(K404,Niveles!$B$2:$B$10,0),"")</f>
        <v/>
      </c>
    </row>
    <row r="405" spans="1:17" x14ac:dyDescent="0.25">
      <c r="A405" s="18" t="s">
        <v>65</v>
      </c>
      <c r="B405" s="18">
        <v>1952</v>
      </c>
      <c r="C405" s="18" t="s">
        <v>1149</v>
      </c>
      <c r="D405" s="18" t="s">
        <v>114</v>
      </c>
      <c r="E405" s="18" t="s">
        <v>1108</v>
      </c>
      <c r="F405" s="18" t="s">
        <v>145</v>
      </c>
      <c r="G405" s="18" t="s">
        <v>1154</v>
      </c>
      <c r="H405" s="18">
        <v>1751</v>
      </c>
      <c r="I405" s="18" t="s">
        <v>162</v>
      </c>
      <c r="J405" s="18"/>
      <c r="K405" s="18"/>
      <c r="L405" s="18"/>
      <c r="M405" s="18"/>
      <c r="N405" s="18"/>
      <c r="O405" s="18" t="s">
        <v>163</v>
      </c>
      <c r="P405" s="18" t="s">
        <v>1101</v>
      </c>
      <c r="Q405" s="18" t="str">
        <f>IFERROR(MATCH(K405,Niveles!$B$2:$B$10,0),"")</f>
        <v/>
      </c>
    </row>
    <row r="406" spans="1:17" x14ac:dyDescent="0.25">
      <c r="A406" s="18" t="s">
        <v>65</v>
      </c>
      <c r="B406" s="18">
        <v>1952</v>
      </c>
      <c r="C406" s="18" t="s">
        <v>1149</v>
      </c>
      <c r="D406" s="18" t="s">
        <v>118</v>
      </c>
      <c r="E406" s="18" t="s">
        <v>1110</v>
      </c>
      <c r="F406" s="18" t="s">
        <v>145</v>
      </c>
      <c r="G406" s="18" t="s">
        <v>1155</v>
      </c>
      <c r="H406" s="18">
        <v>1770</v>
      </c>
      <c r="I406" s="18" t="s">
        <v>162</v>
      </c>
      <c r="J406" s="18"/>
      <c r="K406" s="18"/>
      <c r="L406" s="18"/>
      <c r="M406" s="18"/>
      <c r="N406" s="18"/>
      <c r="O406" s="18" t="s">
        <v>163</v>
      </c>
      <c r="P406" s="18" t="s">
        <v>1101</v>
      </c>
      <c r="Q406" s="18" t="str">
        <f>IFERROR(MATCH(K406,Niveles!$B$2:$B$10,0),"")</f>
        <v/>
      </c>
    </row>
    <row r="407" spans="1:17" x14ac:dyDescent="0.25">
      <c r="A407" s="18" t="s">
        <v>65</v>
      </c>
      <c r="B407" s="18">
        <v>1952</v>
      </c>
      <c r="C407" s="18" t="s">
        <v>1149</v>
      </c>
      <c r="D407" s="18" t="s">
        <v>772</v>
      </c>
      <c r="E407" s="18" t="s">
        <v>1112</v>
      </c>
      <c r="F407" s="18" t="s">
        <v>145</v>
      </c>
      <c r="G407" s="18" t="s">
        <v>1156</v>
      </c>
      <c r="H407" s="18">
        <v>1789</v>
      </c>
      <c r="I407" s="18" t="s">
        <v>162</v>
      </c>
      <c r="J407" s="18"/>
      <c r="K407" s="18"/>
      <c r="L407" s="18"/>
      <c r="M407" s="18"/>
      <c r="N407" s="18"/>
      <c r="O407" s="18" t="s">
        <v>163</v>
      </c>
      <c r="P407" s="18" t="s">
        <v>1101</v>
      </c>
      <c r="Q407" s="18" t="str">
        <f>IFERROR(MATCH(K407,Niveles!$B$2:$B$10,0),"")</f>
        <v/>
      </c>
    </row>
    <row r="408" spans="1:17" x14ac:dyDescent="0.25">
      <c r="A408" s="18" t="s">
        <v>65</v>
      </c>
      <c r="B408" s="18">
        <v>1952</v>
      </c>
      <c r="C408" s="18" t="s">
        <v>1149</v>
      </c>
      <c r="D408" s="18" t="s">
        <v>115</v>
      </c>
      <c r="E408" s="18" t="s">
        <v>1114</v>
      </c>
      <c r="F408" s="18" t="s">
        <v>145</v>
      </c>
      <c r="G408" s="18" t="s">
        <v>1157</v>
      </c>
      <c r="H408" s="18">
        <v>1808</v>
      </c>
      <c r="I408" s="18" t="s">
        <v>162</v>
      </c>
      <c r="J408" s="18"/>
      <c r="K408" s="18"/>
      <c r="L408" s="18"/>
      <c r="M408" s="18"/>
      <c r="N408" s="18"/>
      <c r="O408" s="18" t="s">
        <v>163</v>
      </c>
      <c r="P408" s="18" t="s">
        <v>1115</v>
      </c>
      <c r="Q408" s="18" t="str">
        <f>IFERROR(MATCH(K408,Niveles!$B$2:$B$10,0),"")</f>
        <v/>
      </c>
    </row>
    <row r="409" spans="1:17" x14ac:dyDescent="0.25">
      <c r="A409" s="18" t="s">
        <v>65</v>
      </c>
      <c r="B409" s="18">
        <v>1952</v>
      </c>
      <c r="C409" s="18" t="s">
        <v>1149</v>
      </c>
      <c r="D409" s="18" t="s">
        <v>122</v>
      </c>
      <c r="E409" s="18" t="s">
        <v>1116</v>
      </c>
      <c r="F409" s="18" t="s">
        <v>145</v>
      </c>
      <c r="G409" s="18" t="s">
        <v>1158</v>
      </c>
      <c r="H409" s="18">
        <v>1809</v>
      </c>
      <c r="I409" s="18" t="s">
        <v>162</v>
      </c>
      <c r="J409" s="18"/>
      <c r="K409" s="18"/>
      <c r="L409" s="18"/>
      <c r="M409" s="18"/>
      <c r="N409" s="18"/>
      <c r="O409" s="18" t="s">
        <v>163</v>
      </c>
      <c r="P409" s="18" t="s">
        <v>1115</v>
      </c>
      <c r="Q409" s="18" t="str">
        <f>IFERROR(MATCH(K409,Niveles!$B$2:$B$10,0),"")</f>
        <v/>
      </c>
    </row>
    <row r="410" spans="1:17" x14ac:dyDescent="0.25">
      <c r="A410" s="18" t="s">
        <v>65</v>
      </c>
      <c r="B410" s="18">
        <v>1952</v>
      </c>
      <c r="C410" s="18" t="s">
        <v>1149</v>
      </c>
      <c r="D410" s="18" t="s">
        <v>878</v>
      </c>
      <c r="E410" s="18" t="s">
        <v>1118</v>
      </c>
      <c r="F410" s="18" t="s">
        <v>145</v>
      </c>
      <c r="G410" s="18" t="s">
        <v>1159</v>
      </c>
      <c r="H410" s="18">
        <v>1810</v>
      </c>
      <c r="I410" s="18" t="s">
        <v>162</v>
      </c>
      <c r="J410" s="18"/>
      <c r="K410" s="18"/>
      <c r="L410" s="18"/>
      <c r="M410" s="18"/>
      <c r="N410" s="18"/>
      <c r="O410" s="18" t="s">
        <v>163</v>
      </c>
      <c r="P410" s="18" t="s">
        <v>1115</v>
      </c>
      <c r="Q410" s="18" t="str">
        <f>IFERROR(MATCH(K410,Niveles!$B$2:$B$10,0),"")</f>
        <v/>
      </c>
    </row>
    <row r="411" spans="1:17" x14ac:dyDescent="0.25">
      <c r="A411" s="18" t="s">
        <v>65</v>
      </c>
      <c r="B411" s="18">
        <v>1952</v>
      </c>
      <c r="C411" s="18" t="s">
        <v>1149</v>
      </c>
      <c r="D411" s="18" t="s">
        <v>880</v>
      </c>
      <c r="E411" s="18" t="s">
        <v>1120</v>
      </c>
      <c r="F411" s="18" t="s">
        <v>145</v>
      </c>
      <c r="G411" s="18" t="s">
        <v>1160</v>
      </c>
      <c r="H411" s="18">
        <v>1811</v>
      </c>
      <c r="I411" s="18" t="s">
        <v>162</v>
      </c>
      <c r="J411" s="18"/>
      <c r="K411" s="18"/>
      <c r="L411" s="18"/>
      <c r="M411" s="18"/>
      <c r="N411" s="18"/>
      <c r="O411" s="18" t="s">
        <v>163</v>
      </c>
      <c r="P411" s="18" t="s">
        <v>1115</v>
      </c>
      <c r="Q411" s="18" t="str">
        <f>IFERROR(MATCH(K411,Niveles!$B$2:$B$10,0),"")</f>
        <v/>
      </c>
    </row>
    <row r="412" spans="1:17" x14ac:dyDescent="0.25">
      <c r="A412" s="18" t="s">
        <v>65</v>
      </c>
      <c r="B412" s="18">
        <v>1952</v>
      </c>
      <c r="C412" s="18" t="s">
        <v>1149</v>
      </c>
      <c r="D412" s="18" t="s">
        <v>383</v>
      </c>
      <c r="E412" s="18" t="s">
        <v>1122</v>
      </c>
      <c r="F412" s="18" t="s">
        <v>145</v>
      </c>
      <c r="G412" s="18" t="s">
        <v>1161</v>
      </c>
      <c r="H412" s="18">
        <v>1812</v>
      </c>
      <c r="I412" s="18" t="s">
        <v>162</v>
      </c>
      <c r="J412" s="18"/>
      <c r="K412" s="18"/>
      <c r="L412" s="18"/>
      <c r="M412" s="18"/>
      <c r="N412" s="18"/>
      <c r="O412" s="18" t="s">
        <v>163</v>
      </c>
      <c r="P412" s="18" t="s">
        <v>1115</v>
      </c>
      <c r="Q412" s="18" t="str">
        <f>IFERROR(MATCH(K412,Niveles!$B$2:$B$10,0),"")</f>
        <v/>
      </c>
    </row>
    <row r="413" spans="1:17" x14ac:dyDescent="0.25">
      <c r="A413" s="18" t="s">
        <v>65</v>
      </c>
      <c r="B413" s="18">
        <v>1952</v>
      </c>
      <c r="C413" s="18" t="s">
        <v>1149</v>
      </c>
      <c r="D413" s="18" t="s">
        <v>886</v>
      </c>
      <c r="E413" s="18" t="s">
        <v>1123</v>
      </c>
      <c r="F413" s="18" t="s">
        <v>145</v>
      </c>
      <c r="G413" s="18" t="s">
        <v>1162</v>
      </c>
      <c r="H413" s="18">
        <v>1813</v>
      </c>
      <c r="I413" s="18" t="s">
        <v>162</v>
      </c>
      <c r="J413" s="18"/>
      <c r="K413" s="18"/>
      <c r="L413" s="18"/>
      <c r="M413" s="18"/>
      <c r="N413" s="18"/>
      <c r="O413" s="18" t="s">
        <v>163</v>
      </c>
      <c r="P413" s="18" t="s">
        <v>1115</v>
      </c>
      <c r="Q413" s="18" t="str">
        <f>IFERROR(MATCH(K413,Niveles!$B$2:$B$10,0),"")</f>
        <v/>
      </c>
    </row>
    <row r="414" spans="1:17" x14ac:dyDescent="0.25">
      <c r="A414" s="18" t="s">
        <v>65</v>
      </c>
      <c r="B414" s="18">
        <v>1952</v>
      </c>
      <c r="C414" s="18" t="s">
        <v>1163</v>
      </c>
      <c r="D414" s="18" t="s">
        <v>112</v>
      </c>
      <c r="E414" s="18" t="s">
        <v>1100</v>
      </c>
      <c r="F414" s="18" t="s">
        <v>145</v>
      </c>
      <c r="G414" s="18" t="s">
        <v>1164</v>
      </c>
      <c r="H414" s="18">
        <v>1816</v>
      </c>
      <c r="I414" s="18" t="s">
        <v>162</v>
      </c>
      <c r="J414" s="18" t="s">
        <v>980</v>
      </c>
      <c r="K414" s="18" t="s">
        <v>125</v>
      </c>
      <c r="L414" s="18" t="s">
        <v>981</v>
      </c>
      <c r="M414" s="18" t="s">
        <v>172</v>
      </c>
      <c r="N414" s="18" t="s">
        <v>162</v>
      </c>
      <c r="O414" s="18" t="s">
        <v>163</v>
      </c>
      <c r="P414" s="18" t="s">
        <v>1101</v>
      </c>
      <c r="Q414" s="18">
        <f>IFERROR(MATCH(K414,Niveles!$B$2:$B$10,0),"")</f>
        <v>3</v>
      </c>
    </row>
    <row r="415" spans="1:17" x14ac:dyDescent="0.25">
      <c r="A415" s="18" t="s">
        <v>65</v>
      </c>
      <c r="B415" s="18">
        <v>1952</v>
      </c>
      <c r="C415" s="18" t="s">
        <v>1163</v>
      </c>
      <c r="D415" s="18" t="s">
        <v>237</v>
      </c>
      <c r="E415" s="18" t="s">
        <v>1102</v>
      </c>
      <c r="F415" s="18" t="s">
        <v>145</v>
      </c>
      <c r="G415" s="18" t="s">
        <v>1165</v>
      </c>
      <c r="H415" s="18">
        <v>1837</v>
      </c>
      <c r="I415" s="18" t="s">
        <v>162</v>
      </c>
      <c r="J415" s="18"/>
      <c r="K415" s="18"/>
      <c r="L415" s="18"/>
      <c r="M415" s="18"/>
      <c r="N415" s="18"/>
      <c r="O415" s="18" t="s">
        <v>163</v>
      </c>
      <c r="P415" s="18" t="s">
        <v>1101</v>
      </c>
      <c r="Q415" s="18" t="str">
        <f>IFERROR(MATCH(K415,Niveles!$B$2:$B$10,0),"")</f>
        <v/>
      </c>
    </row>
    <row r="416" spans="1:17" x14ac:dyDescent="0.25">
      <c r="A416" s="18" t="s">
        <v>65</v>
      </c>
      <c r="B416" s="18">
        <v>1952</v>
      </c>
      <c r="C416" s="18" t="s">
        <v>1163</v>
      </c>
      <c r="D416" s="18" t="s">
        <v>121</v>
      </c>
      <c r="E416" s="18" t="s">
        <v>1103</v>
      </c>
      <c r="F416" s="18" t="s">
        <v>145</v>
      </c>
      <c r="G416" s="18" t="s">
        <v>1166</v>
      </c>
      <c r="H416" s="18">
        <v>1850</v>
      </c>
      <c r="I416" s="18" t="s">
        <v>162</v>
      </c>
      <c r="J416" s="18"/>
      <c r="K416" s="18"/>
      <c r="L416" s="18"/>
      <c r="M416" s="18"/>
      <c r="N416" s="18"/>
      <c r="O416" s="18" t="s">
        <v>163</v>
      </c>
      <c r="P416" s="18" t="s">
        <v>1101</v>
      </c>
      <c r="Q416" s="18" t="str">
        <f>IFERROR(MATCH(K416,Niveles!$B$2:$B$10,0),"")</f>
        <v/>
      </c>
    </row>
    <row r="417" spans="1:17" x14ac:dyDescent="0.25">
      <c r="A417" s="18" t="s">
        <v>65</v>
      </c>
      <c r="B417" s="18">
        <v>1952</v>
      </c>
      <c r="C417" s="18" t="s">
        <v>1163</v>
      </c>
      <c r="D417" s="18" t="s">
        <v>123</v>
      </c>
      <c r="E417" s="18" t="s">
        <v>1104</v>
      </c>
      <c r="F417" s="18" t="s">
        <v>145</v>
      </c>
      <c r="G417" s="18" t="s">
        <v>1167</v>
      </c>
      <c r="H417" s="18">
        <v>1866</v>
      </c>
      <c r="I417" s="18" t="s">
        <v>162</v>
      </c>
      <c r="J417" s="18"/>
      <c r="K417" s="18"/>
      <c r="L417" s="18"/>
      <c r="M417" s="18"/>
      <c r="N417" s="18"/>
      <c r="O417" s="18" t="s">
        <v>163</v>
      </c>
      <c r="P417" s="18" t="s">
        <v>1101</v>
      </c>
      <c r="Q417" s="18" t="str">
        <f>IFERROR(MATCH(K417,Niveles!$B$2:$B$10,0),"")</f>
        <v/>
      </c>
    </row>
    <row r="418" spans="1:17" x14ac:dyDescent="0.25">
      <c r="A418" s="18" t="s">
        <v>65</v>
      </c>
      <c r="B418" s="18">
        <v>1952</v>
      </c>
      <c r="C418" s="18" t="s">
        <v>1163</v>
      </c>
      <c r="D418" s="18" t="s">
        <v>113</v>
      </c>
      <c r="E418" s="18" t="s">
        <v>1106</v>
      </c>
      <c r="F418" s="18" t="s">
        <v>145</v>
      </c>
      <c r="G418" s="18" t="s">
        <v>1168</v>
      </c>
      <c r="H418" s="18">
        <v>1883</v>
      </c>
      <c r="I418" s="18" t="s">
        <v>162</v>
      </c>
      <c r="J418" s="18"/>
      <c r="K418" s="18"/>
      <c r="L418" s="18"/>
      <c r="M418" s="18"/>
      <c r="N418" s="18"/>
      <c r="O418" s="18" t="s">
        <v>163</v>
      </c>
      <c r="P418" s="18" t="s">
        <v>1101</v>
      </c>
      <c r="Q418" s="18" t="str">
        <f>IFERROR(MATCH(K418,Niveles!$B$2:$B$10,0),"")</f>
        <v/>
      </c>
    </row>
    <row r="419" spans="1:17" x14ac:dyDescent="0.25">
      <c r="A419" s="18" t="s">
        <v>65</v>
      </c>
      <c r="B419" s="18">
        <v>1952</v>
      </c>
      <c r="C419" s="18" t="s">
        <v>1163</v>
      </c>
      <c r="D419" s="18" t="s">
        <v>114</v>
      </c>
      <c r="E419" s="18" t="s">
        <v>1108</v>
      </c>
      <c r="F419" s="18" t="s">
        <v>145</v>
      </c>
      <c r="G419" s="18" t="s">
        <v>1169</v>
      </c>
      <c r="H419" s="18">
        <v>1892</v>
      </c>
      <c r="I419" s="18" t="s">
        <v>162</v>
      </c>
      <c r="J419" s="18"/>
      <c r="K419" s="18"/>
      <c r="L419" s="18"/>
      <c r="M419" s="18"/>
      <c r="N419" s="18"/>
      <c r="O419" s="18" t="s">
        <v>163</v>
      </c>
      <c r="P419" s="18" t="s">
        <v>1101</v>
      </c>
      <c r="Q419" s="18" t="str">
        <f>IFERROR(MATCH(K419,Niveles!$B$2:$B$10,0),"")</f>
        <v/>
      </c>
    </row>
    <row r="420" spans="1:17" x14ac:dyDescent="0.25">
      <c r="A420" s="18" t="s">
        <v>65</v>
      </c>
      <c r="B420" s="18">
        <v>1952</v>
      </c>
      <c r="C420" s="18" t="s">
        <v>1163</v>
      </c>
      <c r="D420" s="18" t="s">
        <v>118</v>
      </c>
      <c r="E420" s="18" t="s">
        <v>1110</v>
      </c>
      <c r="F420" s="18" t="s">
        <v>145</v>
      </c>
      <c r="G420" s="18" t="s">
        <v>1170</v>
      </c>
      <c r="H420" s="18">
        <v>1908</v>
      </c>
      <c r="I420" s="18" t="s">
        <v>162</v>
      </c>
      <c r="J420" s="18"/>
      <c r="K420" s="18"/>
      <c r="L420" s="18"/>
      <c r="M420" s="18"/>
      <c r="N420" s="18"/>
      <c r="O420" s="18" t="s">
        <v>163</v>
      </c>
      <c r="P420" s="18" t="s">
        <v>1101</v>
      </c>
      <c r="Q420" s="18" t="str">
        <f>IFERROR(MATCH(K420,Niveles!$B$2:$B$10,0),"")</f>
        <v/>
      </c>
    </row>
    <row r="421" spans="1:17" x14ac:dyDescent="0.25">
      <c r="A421" s="18" t="s">
        <v>65</v>
      </c>
      <c r="B421" s="18">
        <v>1952</v>
      </c>
      <c r="C421" s="18" t="s">
        <v>1163</v>
      </c>
      <c r="D421" s="18" t="s">
        <v>772</v>
      </c>
      <c r="E421" s="18" t="s">
        <v>1112</v>
      </c>
      <c r="F421" s="18" t="s">
        <v>145</v>
      </c>
      <c r="G421" s="18" t="s">
        <v>1171</v>
      </c>
      <c r="H421" s="18">
        <v>1924</v>
      </c>
      <c r="I421" s="18" t="s">
        <v>162</v>
      </c>
      <c r="J421" s="18"/>
      <c r="K421" s="18"/>
      <c r="L421" s="18"/>
      <c r="M421" s="18"/>
      <c r="N421" s="18"/>
      <c r="O421" s="18" t="s">
        <v>163</v>
      </c>
      <c r="P421" s="18" t="s">
        <v>1101</v>
      </c>
      <c r="Q421" s="18" t="str">
        <f>IFERROR(MATCH(K421,Niveles!$B$2:$B$10,0),"")</f>
        <v/>
      </c>
    </row>
    <row r="422" spans="1:17" x14ac:dyDescent="0.25">
      <c r="A422" s="18" t="s">
        <v>65</v>
      </c>
      <c r="B422" s="18">
        <v>1952</v>
      </c>
      <c r="C422" s="18" t="s">
        <v>1163</v>
      </c>
      <c r="D422" s="18" t="s">
        <v>115</v>
      </c>
      <c r="E422" s="18" t="s">
        <v>1114</v>
      </c>
      <c r="F422" s="18" t="s">
        <v>145</v>
      </c>
      <c r="G422" s="18" t="s">
        <v>526</v>
      </c>
      <c r="H422" s="18">
        <v>1940</v>
      </c>
      <c r="I422" s="18" t="s">
        <v>162</v>
      </c>
      <c r="J422" s="18"/>
      <c r="K422" s="18"/>
      <c r="L422" s="18"/>
      <c r="M422" s="18"/>
      <c r="N422" s="18"/>
      <c r="O422" s="18" t="s">
        <v>163</v>
      </c>
      <c r="P422" s="18" t="s">
        <v>1115</v>
      </c>
      <c r="Q422" s="18" t="str">
        <f>IFERROR(MATCH(K422,Niveles!$B$2:$B$10,0),"")</f>
        <v/>
      </c>
    </row>
    <row r="423" spans="1:17" x14ac:dyDescent="0.25">
      <c r="A423" s="18" t="s">
        <v>65</v>
      </c>
      <c r="B423" s="18">
        <v>1952</v>
      </c>
      <c r="C423" s="18" t="s">
        <v>1163</v>
      </c>
      <c r="D423" s="18" t="s">
        <v>122</v>
      </c>
      <c r="E423" s="18" t="s">
        <v>1116</v>
      </c>
      <c r="F423" s="18" t="s">
        <v>145</v>
      </c>
      <c r="G423" s="18" t="s">
        <v>1172</v>
      </c>
      <c r="H423" s="18">
        <v>1941</v>
      </c>
      <c r="I423" s="18" t="s">
        <v>162</v>
      </c>
      <c r="J423" s="18"/>
      <c r="K423" s="18"/>
      <c r="L423" s="18"/>
      <c r="M423" s="18"/>
      <c r="N423" s="18"/>
      <c r="O423" s="18" t="s">
        <v>163</v>
      </c>
      <c r="P423" s="18" t="s">
        <v>1115</v>
      </c>
      <c r="Q423" s="18" t="str">
        <f>IFERROR(MATCH(K423,Niveles!$B$2:$B$10,0),"")</f>
        <v/>
      </c>
    </row>
    <row r="424" spans="1:17" x14ac:dyDescent="0.25">
      <c r="A424" s="18" t="s">
        <v>65</v>
      </c>
      <c r="B424" s="18">
        <v>1952</v>
      </c>
      <c r="C424" s="18" t="s">
        <v>1163</v>
      </c>
      <c r="D424" s="18" t="s">
        <v>878</v>
      </c>
      <c r="E424" s="18" t="s">
        <v>1118</v>
      </c>
      <c r="F424" s="18" t="s">
        <v>145</v>
      </c>
      <c r="G424" s="18" t="s">
        <v>528</v>
      </c>
      <c r="H424" s="18">
        <v>1942</v>
      </c>
      <c r="I424" s="18" t="s">
        <v>162</v>
      </c>
      <c r="J424" s="18"/>
      <c r="K424" s="18"/>
      <c r="L424" s="18"/>
      <c r="M424" s="18"/>
      <c r="N424" s="18"/>
      <c r="O424" s="18" t="s">
        <v>163</v>
      </c>
      <c r="P424" s="18" t="s">
        <v>1115</v>
      </c>
      <c r="Q424" s="18" t="str">
        <f>IFERROR(MATCH(K424,Niveles!$B$2:$B$10,0),"")</f>
        <v/>
      </c>
    </row>
    <row r="425" spans="1:17" x14ac:dyDescent="0.25">
      <c r="A425" s="18" t="s">
        <v>65</v>
      </c>
      <c r="B425" s="18">
        <v>1952</v>
      </c>
      <c r="C425" s="18" t="s">
        <v>1163</v>
      </c>
      <c r="D425" s="18" t="s">
        <v>880</v>
      </c>
      <c r="E425" s="18" t="s">
        <v>1120</v>
      </c>
      <c r="F425" s="18" t="s">
        <v>145</v>
      </c>
      <c r="G425" s="18" t="s">
        <v>1173</v>
      </c>
      <c r="H425" s="18">
        <v>1943</v>
      </c>
      <c r="I425" s="18" t="s">
        <v>162</v>
      </c>
      <c r="J425" s="18"/>
      <c r="K425" s="18"/>
      <c r="L425" s="18"/>
      <c r="M425" s="18"/>
      <c r="N425" s="18"/>
      <c r="O425" s="18" t="s">
        <v>163</v>
      </c>
      <c r="P425" s="18" t="s">
        <v>1115</v>
      </c>
      <c r="Q425" s="18" t="str">
        <f>IFERROR(MATCH(K425,Niveles!$B$2:$B$10,0),"")</f>
        <v/>
      </c>
    </row>
    <row r="426" spans="1:17" x14ac:dyDescent="0.25">
      <c r="A426" s="18" t="s">
        <v>65</v>
      </c>
      <c r="B426" s="18">
        <v>1952</v>
      </c>
      <c r="C426" s="18" t="s">
        <v>1163</v>
      </c>
      <c r="D426" s="18" t="s">
        <v>383</v>
      </c>
      <c r="E426" s="18" t="s">
        <v>1122</v>
      </c>
      <c r="F426" s="18" t="s">
        <v>145</v>
      </c>
      <c r="G426" s="18" t="s">
        <v>530</v>
      </c>
      <c r="H426" s="18">
        <v>1944</v>
      </c>
      <c r="I426" s="18" t="s">
        <v>162</v>
      </c>
      <c r="J426" s="18"/>
      <c r="K426" s="18"/>
      <c r="L426" s="18"/>
      <c r="M426" s="18"/>
      <c r="N426" s="18"/>
      <c r="O426" s="18" t="s">
        <v>163</v>
      </c>
      <c r="P426" s="18" t="s">
        <v>1115</v>
      </c>
      <c r="Q426" s="18" t="str">
        <f>IFERROR(MATCH(K426,Niveles!$B$2:$B$10,0),"")</f>
        <v/>
      </c>
    </row>
    <row r="427" spans="1:17" x14ac:dyDescent="0.25">
      <c r="A427" s="18" t="s">
        <v>65</v>
      </c>
      <c r="B427" s="18">
        <v>1952</v>
      </c>
      <c r="C427" s="18" t="s">
        <v>1163</v>
      </c>
      <c r="D427" s="18" t="s">
        <v>886</v>
      </c>
      <c r="E427" s="18" t="s">
        <v>1123</v>
      </c>
      <c r="F427" s="18" t="s">
        <v>145</v>
      </c>
      <c r="G427" s="18" t="s">
        <v>1174</v>
      </c>
      <c r="H427" s="18">
        <v>1945</v>
      </c>
      <c r="I427" s="18" t="s">
        <v>162</v>
      </c>
      <c r="J427" s="18"/>
      <c r="K427" s="18"/>
      <c r="L427" s="18"/>
      <c r="M427" s="18"/>
      <c r="N427" s="18"/>
      <c r="O427" s="18" t="s">
        <v>163</v>
      </c>
      <c r="P427" s="18" t="s">
        <v>1115</v>
      </c>
      <c r="Q427" s="18" t="str">
        <f>IFERROR(MATCH(K427,Niveles!$B$2:$B$10,0),"")</f>
        <v/>
      </c>
    </row>
    <row r="428" spans="1:17" x14ac:dyDescent="0.25">
      <c r="A428" s="18" t="s">
        <v>65</v>
      </c>
      <c r="B428" s="18">
        <v>1952</v>
      </c>
      <c r="C428" s="18" t="s">
        <v>1095</v>
      </c>
      <c r="D428" s="18"/>
      <c r="E428" s="18" t="s">
        <v>1175</v>
      </c>
      <c r="F428" s="18" t="s">
        <v>161</v>
      </c>
      <c r="G428" s="18"/>
      <c r="H428" s="18">
        <v>1947</v>
      </c>
      <c r="I428" s="18" t="s">
        <v>162</v>
      </c>
      <c r="J428" s="18"/>
      <c r="K428" s="18"/>
      <c r="L428" s="18"/>
      <c r="M428" s="18"/>
      <c r="N428" s="18"/>
      <c r="O428" s="18" t="s">
        <v>163</v>
      </c>
      <c r="P428" s="18" t="s">
        <v>1176</v>
      </c>
      <c r="Q428" s="18" t="str">
        <f>IFERROR(MATCH(K428,Niveles!$B$2:$B$10,0),"")</f>
        <v/>
      </c>
    </row>
    <row r="429" spans="1:17" x14ac:dyDescent="0.25">
      <c r="A429" s="18" t="s">
        <v>65</v>
      </c>
      <c r="B429" s="18">
        <v>1952</v>
      </c>
      <c r="C429" s="18" t="s">
        <v>1177</v>
      </c>
      <c r="D429" s="18"/>
      <c r="E429" s="18" t="s">
        <v>1178</v>
      </c>
      <c r="F429" s="18" t="s">
        <v>169</v>
      </c>
      <c r="G429" s="18"/>
      <c r="H429" s="18">
        <v>2374</v>
      </c>
      <c r="I429" s="18" t="s">
        <v>162</v>
      </c>
      <c r="J429" s="18"/>
      <c r="K429" s="18"/>
      <c r="L429" s="18"/>
      <c r="M429" s="18"/>
      <c r="N429" s="18"/>
      <c r="O429" s="18" t="s">
        <v>163</v>
      </c>
      <c r="P429" s="18" t="s">
        <v>1179</v>
      </c>
      <c r="Q429" s="18" t="str">
        <f>IFERROR(MATCH(K429,Niveles!$B$2:$B$10,0),"")</f>
        <v/>
      </c>
    </row>
    <row r="430" spans="1:17" x14ac:dyDescent="0.25">
      <c r="A430" s="18" t="s">
        <v>69</v>
      </c>
      <c r="B430" s="18">
        <v>1960</v>
      </c>
      <c r="C430" s="18" t="s">
        <v>1180</v>
      </c>
      <c r="D430" s="18" t="s">
        <v>1181</v>
      </c>
      <c r="E430" s="18" t="s">
        <v>1182</v>
      </c>
      <c r="F430" s="18" t="s">
        <v>161</v>
      </c>
      <c r="G430" s="18" t="s">
        <v>112</v>
      </c>
      <c r="H430" s="18">
        <v>16</v>
      </c>
      <c r="I430" s="18" t="s">
        <v>238</v>
      </c>
      <c r="J430" s="18"/>
      <c r="K430" s="18"/>
      <c r="L430" s="18"/>
      <c r="M430" s="18"/>
      <c r="N430" s="18"/>
      <c r="O430" s="18" t="s">
        <v>163</v>
      </c>
      <c r="P430" s="18"/>
      <c r="Q430" s="18" t="str">
        <f>IFERROR(MATCH(K430,Niveles!$B$2:$B$10,0),"")</f>
        <v/>
      </c>
    </row>
    <row r="431" spans="1:17" x14ac:dyDescent="0.25">
      <c r="A431" s="18" t="s">
        <v>69</v>
      </c>
      <c r="B431" s="18">
        <v>1960</v>
      </c>
      <c r="C431" s="18" t="s">
        <v>1180</v>
      </c>
      <c r="D431" s="18"/>
      <c r="E431" s="18" t="s">
        <v>1183</v>
      </c>
      <c r="F431" s="18" t="s">
        <v>161</v>
      </c>
      <c r="G431" s="18" t="s">
        <v>112</v>
      </c>
      <c r="H431" s="18">
        <v>16</v>
      </c>
      <c r="I431" s="18" t="s">
        <v>238</v>
      </c>
      <c r="J431" s="18"/>
      <c r="K431" s="18"/>
      <c r="L431" s="18"/>
      <c r="M431" s="18"/>
      <c r="N431" s="18"/>
      <c r="O431" s="18" t="s">
        <v>163</v>
      </c>
      <c r="P431" s="18"/>
      <c r="Q431" s="18" t="str">
        <f>IFERROR(MATCH(K431,Niveles!$B$2:$B$10,0),"")</f>
        <v/>
      </c>
    </row>
    <row r="432" spans="1:17" x14ac:dyDescent="0.25">
      <c r="A432" s="18" t="s">
        <v>69</v>
      </c>
      <c r="B432" s="18">
        <v>1960</v>
      </c>
      <c r="C432" s="18" t="s">
        <v>1180</v>
      </c>
      <c r="D432" s="18"/>
      <c r="E432" s="18" t="s">
        <v>1184</v>
      </c>
      <c r="F432" s="18" t="s">
        <v>161</v>
      </c>
      <c r="G432" s="18" t="s">
        <v>113</v>
      </c>
      <c r="H432" s="18">
        <v>20</v>
      </c>
      <c r="I432" s="18" t="s">
        <v>238</v>
      </c>
      <c r="J432" s="18"/>
      <c r="K432" s="18"/>
      <c r="L432" s="18"/>
      <c r="M432" s="18"/>
      <c r="N432" s="18"/>
      <c r="O432" s="18" t="s">
        <v>163</v>
      </c>
      <c r="P432" s="18"/>
      <c r="Q432" s="18" t="str">
        <f>IFERROR(MATCH(K432,Niveles!$B$2:$B$10,0),"")</f>
        <v/>
      </c>
    </row>
    <row r="433" spans="1:17" x14ac:dyDescent="0.25">
      <c r="A433" s="18" t="s">
        <v>69</v>
      </c>
      <c r="B433" s="18">
        <v>1960</v>
      </c>
      <c r="C433" s="18" t="s">
        <v>1180</v>
      </c>
      <c r="D433" s="18"/>
      <c r="E433" s="18" t="s">
        <v>1185</v>
      </c>
      <c r="F433" s="18" t="s">
        <v>161</v>
      </c>
      <c r="G433" s="18" t="s">
        <v>114</v>
      </c>
      <c r="H433" s="18">
        <v>21</v>
      </c>
      <c r="I433" s="18" t="s">
        <v>238</v>
      </c>
      <c r="J433" s="18"/>
      <c r="K433" s="18"/>
      <c r="L433" s="18"/>
      <c r="M433" s="18"/>
      <c r="N433" s="18"/>
      <c r="O433" s="18" t="s">
        <v>163</v>
      </c>
      <c r="P433" s="18"/>
      <c r="Q433" s="18" t="str">
        <f>IFERROR(MATCH(K433,Niveles!$B$2:$B$10,0),"")</f>
        <v/>
      </c>
    </row>
    <row r="434" spans="1:17" x14ac:dyDescent="0.25">
      <c r="A434" s="18" t="s">
        <v>69</v>
      </c>
      <c r="B434" s="18">
        <v>1960</v>
      </c>
      <c r="C434" s="18" t="s">
        <v>1180</v>
      </c>
      <c r="D434" s="18"/>
      <c r="E434" s="18" t="s">
        <v>1186</v>
      </c>
      <c r="F434" s="18" t="s">
        <v>161</v>
      </c>
      <c r="G434" s="18" t="s">
        <v>118</v>
      </c>
      <c r="H434" s="18">
        <v>22</v>
      </c>
      <c r="I434" s="18" t="s">
        <v>238</v>
      </c>
      <c r="J434" s="18"/>
      <c r="K434" s="18"/>
      <c r="L434" s="18"/>
      <c r="M434" s="18"/>
      <c r="N434" s="18"/>
      <c r="O434" s="18" t="s">
        <v>163</v>
      </c>
      <c r="P434" s="18"/>
      <c r="Q434" s="18" t="str">
        <f>IFERROR(MATCH(K434,Niveles!$B$2:$B$10,0),"")</f>
        <v/>
      </c>
    </row>
    <row r="435" spans="1:17" x14ac:dyDescent="0.25">
      <c r="A435" s="18" t="s">
        <v>69</v>
      </c>
      <c r="B435" s="18">
        <v>1960</v>
      </c>
      <c r="C435" s="18" t="s">
        <v>1180</v>
      </c>
      <c r="D435" s="18"/>
      <c r="E435" s="18" t="s">
        <v>1187</v>
      </c>
      <c r="F435" s="18" t="s">
        <v>161</v>
      </c>
      <c r="G435" s="18" t="s">
        <v>772</v>
      </c>
      <c r="H435" s="18">
        <v>23</v>
      </c>
      <c r="I435" s="18" t="s">
        <v>238</v>
      </c>
      <c r="J435" s="18"/>
      <c r="K435" s="18"/>
      <c r="L435" s="18"/>
      <c r="M435" s="18"/>
      <c r="N435" s="18"/>
      <c r="O435" s="18" t="s">
        <v>163</v>
      </c>
      <c r="P435" s="18"/>
      <c r="Q435" s="18" t="str">
        <f>IFERROR(MATCH(K435,Niveles!$B$2:$B$10,0),"")</f>
        <v/>
      </c>
    </row>
    <row r="436" spans="1:17" x14ac:dyDescent="0.25">
      <c r="A436" s="18" t="s">
        <v>69</v>
      </c>
      <c r="B436" s="18">
        <v>1960</v>
      </c>
      <c r="C436" s="18" t="s">
        <v>1180</v>
      </c>
      <c r="D436" s="18"/>
      <c r="E436" s="18" t="s">
        <v>1188</v>
      </c>
      <c r="F436" s="18" t="s">
        <v>161</v>
      </c>
      <c r="G436" s="18" t="s">
        <v>115</v>
      </c>
      <c r="H436" s="18">
        <v>24</v>
      </c>
      <c r="I436" s="18" t="s">
        <v>238</v>
      </c>
      <c r="J436" s="18"/>
      <c r="K436" s="18"/>
      <c r="L436" s="18"/>
      <c r="M436" s="18"/>
      <c r="N436" s="18"/>
      <c r="O436" s="18" t="s">
        <v>163</v>
      </c>
      <c r="P436" s="18"/>
      <c r="Q436" s="18" t="str">
        <f>IFERROR(MATCH(K436,Niveles!$B$2:$B$10,0),"")</f>
        <v/>
      </c>
    </row>
    <row r="437" spans="1:17" x14ac:dyDescent="0.25">
      <c r="A437" s="18" t="s">
        <v>69</v>
      </c>
      <c r="B437" s="18">
        <v>1960</v>
      </c>
      <c r="C437" s="18" t="s">
        <v>1180</v>
      </c>
      <c r="D437" s="18"/>
      <c r="E437" s="18" t="s">
        <v>1189</v>
      </c>
      <c r="F437" s="18" t="s">
        <v>161</v>
      </c>
      <c r="G437" s="18" t="s">
        <v>122</v>
      </c>
      <c r="H437" s="18">
        <v>25</v>
      </c>
      <c r="I437" s="18" t="s">
        <v>238</v>
      </c>
      <c r="J437" s="18"/>
      <c r="K437" s="18"/>
      <c r="L437" s="18"/>
      <c r="M437" s="18"/>
      <c r="N437" s="18"/>
      <c r="O437" s="18" t="s">
        <v>163</v>
      </c>
      <c r="P437" s="18"/>
      <c r="Q437" s="18" t="str">
        <f>IFERROR(MATCH(K437,Niveles!$B$2:$B$10,0),"")</f>
        <v/>
      </c>
    </row>
    <row r="438" spans="1:17" x14ac:dyDescent="0.25">
      <c r="A438" s="18" t="s">
        <v>69</v>
      </c>
      <c r="B438" s="18">
        <v>1960</v>
      </c>
      <c r="C438" s="18" t="s">
        <v>1180</v>
      </c>
      <c r="D438" s="18"/>
      <c r="E438" s="18" t="s">
        <v>1190</v>
      </c>
      <c r="F438" s="18" t="s">
        <v>161</v>
      </c>
      <c r="G438" s="18" t="s">
        <v>122</v>
      </c>
      <c r="H438" s="18">
        <v>25</v>
      </c>
      <c r="I438" s="18" t="s">
        <v>238</v>
      </c>
      <c r="J438" s="18"/>
      <c r="K438" s="18"/>
      <c r="L438" s="18"/>
      <c r="M438" s="18"/>
      <c r="N438" s="18"/>
      <c r="O438" s="18" t="s">
        <v>163</v>
      </c>
      <c r="P438" s="18"/>
      <c r="Q438" s="18" t="str">
        <f>IFERROR(MATCH(K438,Niveles!$B$2:$B$10,0),"")</f>
        <v/>
      </c>
    </row>
    <row r="439" spans="1:17" x14ac:dyDescent="0.25">
      <c r="A439" s="18" t="s">
        <v>69</v>
      </c>
      <c r="B439" s="18">
        <v>1960</v>
      </c>
      <c r="C439" s="18" t="s">
        <v>1180</v>
      </c>
      <c r="D439" s="18"/>
      <c r="E439" s="18" t="s">
        <v>1191</v>
      </c>
      <c r="F439" s="18" t="s">
        <v>161</v>
      </c>
      <c r="G439" s="18" t="s">
        <v>878</v>
      </c>
      <c r="H439" s="18">
        <v>26</v>
      </c>
      <c r="I439" s="18" t="s">
        <v>238</v>
      </c>
      <c r="J439" s="18"/>
      <c r="K439" s="18"/>
      <c r="L439" s="18"/>
      <c r="M439" s="18"/>
      <c r="N439" s="18"/>
      <c r="O439" s="18" t="s">
        <v>163</v>
      </c>
      <c r="P439" s="18"/>
      <c r="Q439" s="18" t="str">
        <f>IFERROR(MATCH(K439,Niveles!$B$2:$B$10,0),"")</f>
        <v/>
      </c>
    </row>
    <row r="440" spans="1:17" x14ac:dyDescent="0.25">
      <c r="A440" s="18" t="s">
        <v>69</v>
      </c>
      <c r="B440" s="18">
        <v>1960</v>
      </c>
      <c r="C440" s="18" t="s">
        <v>1180</v>
      </c>
      <c r="D440" s="18"/>
      <c r="E440" s="18" t="s">
        <v>1192</v>
      </c>
      <c r="F440" s="18" t="s">
        <v>161</v>
      </c>
      <c r="G440" s="18" t="s">
        <v>880</v>
      </c>
      <c r="H440" s="18">
        <v>27</v>
      </c>
      <c r="I440" s="18" t="s">
        <v>238</v>
      </c>
      <c r="J440" s="18"/>
      <c r="K440" s="18"/>
      <c r="L440" s="18"/>
      <c r="M440" s="18"/>
      <c r="N440" s="18"/>
      <c r="O440" s="18" t="s">
        <v>163</v>
      </c>
      <c r="P440" s="18"/>
      <c r="Q440" s="18" t="str">
        <f>IFERROR(MATCH(K440,Niveles!$B$2:$B$10,0),"")</f>
        <v/>
      </c>
    </row>
    <row r="441" spans="1:17" x14ac:dyDescent="0.25">
      <c r="A441" s="18" t="s">
        <v>69</v>
      </c>
      <c r="B441" s="18">
        <v>1960</v>
      </c>
      <c r="C441" s="18" t="s">
        <v>1193</v>
      </c>
      <c r="D441" s="18" t="s">
        <v>1194</v>
      </c>
      <c r="E441" s="18" t="s">
        <v>1195</v>
      </c>
      <c r="F441" s="18" t="s">
        <v>161</v>
      </c>
      <c r="G441" s="18" t="s">
        <v>886</v>
      </c>
      <c r="H441" s="18">
        <v>29</v>
      </c>
      <c r="I441" s="18" t="s">
        <v>238</v>
      </c>
      <c r="J441" s="18"/>
      <c r="K441" s="18"/>
      <c r="L441" s="18"/>
      <c r="M441" s="18"/>
      <c r="N441" s="18"/>
      <c r="O441" s="18" t="s">
        <v>163</v>
      </c>
      <c r="P441" s="18"/>
      <c r="Q441" s="18" t="str">
        <f>IFERROR(MATCH(K441,Niveles!$B$2:$B$10,0),"")</f>
        <v/>
      </c>
    </row>
    <row r="442" spans="1:17" x14ac:dyDescent="0.25">
      <c r="A442" s="18" t="s">
        <v>69</v>
      </c>
      <c r="B442" s="18">
        <v>1960</v>
      </c>
      <c r="C442" s="18" t="s">
        <v>1193</v>
      </c>
      <c r="D442" s="18" t="s">
        <v>112</v>
      </c>
      <c r="E442" s="18" t="s">
        <v>1196</v>
      </c>
      <c r="F442" s="18" t="s">
        <v>161</v>
      </c>
      <c r="G442" s="18" t="s">
        <v>886</v>
      </c>
      <c r="H442" s="18">
        <v>29</v>
      </c>
      <c r="I442" s="18" t="s">
        <v>238</v>
      </c>
      <c r="J442" s="18"/>
      <c r="K442" s="18"/>
      <c r="L442" s="18"/>
      <c r="M442" s="18"/>
      <c r="N442" s="18"/>
      <c r="O442" s="18" t="s">
        <v>163</v>
      </c>
      <c r="P442" s="18"/>
      <c r="Q442" s="18" t="str">
        <f>IFERROR(MATCH(K442,Niveles!$B$2:$B$10,0),"")</f>
        <v/>
      </c>
    </row>
    <row r="443" spans="1:17" x14ac:dyDescent="0.25">
      <c r="A443" s="18" t="s">
        <v>69</v>
      </c>
      <c r="B443" s="18">
        <v>1960</v>
      </c>
      <c r="C443" s="18" t="s">
        <v>1193</v>
      </c>
      <c r="D443" s="18" t="s">
        <v>237</v>
      </c>
      <c r="E443" s="18" t="s">
        <v>1197</v>
      </c>
      <c r="F443" s="18" t="s">
        <v>161</v>
      </c>
      <c r="G443" s="18" t="s">
        <v>1023</v>
      </c>
      <c r="H443" s="18">
        <v>35</v>
      </c>
      <c r="I443" s="18" t="s">
        <v>238</v>
      </c>
      <c r="J443" s="18"/>
      <c r="K443" s="18"/>
      <c r="L443" s="18"/>
      <c r="M443" s="18"/>
      <c r="N443" s="18"/>
      <c r="O443" s="18" t="s">
        <v>163</v>
      </c>
      <c r="P443" s="18"/>
      <c r="Q443" s="18" t="str">
        <f>IFERROR(MATCH(K443,Niveles!$B$2:$B$10,0),"")</f>
        <v/>
      </c>
    </row>
    <row r="444" spans="1:17" x14ac:dyDescent="0.25">
      <c r="A444" s="18" t="s">
        <v>69</v>
      </c>
      <c r="B444" s="18">
        <v>1960</v>
      </c>
      <c r="C444" s="18" t="s">
        <v>1193</v>
      </c>
      <c r="D444" s="18" t="s">
        <v>121</v>
      </c>
      <c r="E444" s="18" t="s">
        <v>1198</v>
      </c>
      <c r="F444" s="18" t="s">
        <v>161</v>
      </c>
      <c r="G444" s="18" t="s">
        <v>1041</v>
      </c>
      <c r="H444" s="18">
        <v>43</v>
      </c>
      <c r="I444" s="18" t="s">
        <v>238</v>
      </c>
      <c r="J444" s="18"/>
      <c r="K444" s="18"/>
      <c r="L444" s="18"/>
      <c r="M444" s="18"/>
      <c r="N444" s="18"/>
      <c r="O444" s="18" t="s">
        <v>163</v>
      </c>
      <c r="P444" s="18"/>
      <c r="Q444" s="18" t="str">
        <f>IFERROR(MATCH(K444,Niveles!$B$2:$B$10,0),"")</f>
        <v/>
      </c>
    </row>
    <row r="445" spans="1:17" x14ac:dyDescent="0.25">
      <c r="A445" s="18" t="s">
        <v>69</v>
      </c>
      <c r="B445" s="18">
        <v>1960</v>
      </c>
      <c r="C445" s="18" t="s">
        <v>1193</v>
      </c>
      <c r="D445" s="18" t="s">
        <v>123</v>
      </c>
      <c r="E445" s="18" t="s">
        <v>1199</v>
      </c>
      <c r="F445" s="18" t="s">
        <v>161</v>
      </c>
      <c r="G445" s="18" t="s">
        <v>950</v>
      </c>
      <c r="H445" s="18">
        <v>52</v>
      </c>
      <c r="I445" s="18" t="s">
        <v>238</v>
      </c>
      <c r="J445" s="18"/>
      <c r="K445" s="18"/>
      <c r="L445" s="18"/>
      <c r="M445" s="18"/>
      <c r="N445" s="18"/>
      <c r="O445" s="18" t="s">
        <v>163</v>
      </c>
      <c r="P445" s="18"/>
      <c r="Q445" s="18" t="str">
        <f>IFERROR(MATCH(K445,Niveles!$B$2:$B$10,0),"")</f>
        <v/>
      </c>
    </row>
    <row r="446" spans="1:17" x14ac:dyDescent="0.25">
      <c r="A446" s="18" t="s">
        <v>69</v>
      </c>
      <c r="B446" s="18">
        <v>1960</v>
      </c>
      <c r="C446" s="18" t="s">
        <v>1193</v>
      </c>
      <c r="D446" s="18" t="s">
        <v>113</v>
      </c>
      <c r="E446" s="18" t="s">
        <v>1200</v>
      </c>
      <c r="F446" s="18" t="s">
        <v>161</v>
      </c>
      <c r="G446" s="18" t="s">
        <v>301</v>
      </c>
      <c r="H446" s="18">
        <v>60</v>
      </c>
      <c r="I446" s="18" t="s">
        <v>238</v>
      </c>
      <c r="J446" s="18"/>
      <c r="K446" s="18"/>
      <c r="L446" s="18"/>
      <c r="M446" s="18"/>
      <c r="N446" s="18"/>
      <c r="O446" s="18" t="s">
        <v>163</v>
      </c>
      <c r="P446" s="18"/>
      <c r="Q446" s="18" t="str">
        <f>IFERROR(MATCH(K446,Niveles!$B$2:$B$10,0),"")</f>
        <v/>
      </c>
    </row>
    <row r="447" spans="1:17" x14ac:dyDescent="0.25">
      <c r="A447" s="18" t="s">
        <v>69</v>
      </c>
      <c r="B447" s="18">
        <v>1960</v>
      </c>
      <c r="C447" s="18" t="s">
        <v>1193</v>
      </c>
      <c r="D447" s="18" t="s">
        <v>114</v>
      </c>
      <c r="E447" s="18" t="s">
        <v>1201</v>
      </c>
      <c r="F447" s="18" t="s">
        <v>161</v>
      </c>
      <c r="G447" s="18" t="s">
        <v>1202</v>
      </c>
      <c r="H447" s="18">
        <v>69</v>
      </c>
      <c r="I447" s="18" t="s">
        <v>238</v>
      </c>
      <c r="J447" s="18"/>
      <c r="K447" s="18"/>
      <c r="L447" s="18"/>
      <c r="M447" s="18"/>
      <c r="N447" s="18"/>
      <c r="O447" s="18" t="s">
        <v>163</v>
      </c>
      <c r="P447" s="18"/>
      <c r="Q447" s="18" t="str">
        <f>IFERROR(MATCH(K447,Niveles!$B$2:$B$10,0),"")</f>
        <v/>
      </c>
    </row>
    <row r="448" spans="1:17" x14ac:dyDescent="0.25">
      <c r="A448" s="18" t="s">
        <v>69</v>
      </c>
      <c r="B448" s="18">
        <v>1960</v>
      </c>
      <c r="C448" s="18" t="s">
        <v>1193</v>
      </c>
      <c r="D448" s="18" t="s">
        <v>118</v>
      </c>
      <c r="E448" s="18" t="s">
        <v>1203</v>
      </c>
      <c r="F448" s="18" t="s">
        <v>161</v>
      </c>
      <c r="G448" s="18" t="s">
        <v>1204</v>
      </c>
      <c r="H448" s="18">
        <v>74</v>
      </c>
      <c r="I448" s="18" t="s">
        <v>238</v>
      </c>
      <c r="J448" s="18"/>
      <c r="K448" s="18"/>
      <c r="L448" s="18"/>
      <c r="M448" s="18"/>
      <c r="N448" s="18"/>
      <c r="O448" s="18" t="s">
        <v>163</v>
      </c>
      <c r="P448" s="18"/>
      <c r="Q448" s="18" t="str">
        <f>IFERROR(MATCH(K448,Niveles!$B$2:$B$10,0),"")</f>
        <v/>
      </c>
    </row>
    <row r="449" spans="1:17" x14ac:dyDescent="0.25">
      <c r="A449" s="18" t="s">
        <v>69</v>
      </c>
      <c r="B449" s="18">
        <v>1960</v>
      </c>
      <c r="C449" s="18" t="s">
        <v>1193</v>
      </c>
      <c r="D449" s="18" t="s">
        <v>772</v>
      </c>
      <c r="E449" s="18" t="s">
        <v>1205</v>
      </c>
      <c r="F449" s="18" t="s">
        <v>161</v>
      </c>
      <c r="G449" s="18" t="s">
        <v>1206</v>
      </c>
      <c r="H449" s="18">
        <v>83</v>
      </c>
      <c r="I449" s="18" t="s">
        <v>238</v>
      </c>
      <c r="J449" s="18"/>
      <c r="K449" s="18"/>
      <c r="L449" s="18"/>
      <c r="M449" s="18"/>
      <c r="N449" s="18"/>
      <c r="O449" s="18" t="s">
        <v>163</v>
      </c>
      <c r="P449" s="18"/>
      <c r="Q449" s="18" t="str">
        <f>IFERROR(MATCH(K449,Niveles!$B$2:$B$10,0),"")</f>
        <v/>
      </c>
    </row>
    <row r="450" spans="1:17" x14ac:dyDescent="0.25">
      <c r="A450" s="18" t="s">
        <v>69</v>
      </c>
      <c r="B450" s="18">
        <v>1960</v>
      </c>
      <c r="C450" s="18" t="s">
        <v>1193</v>
      </c>
      <c r="D450" s="18" t="s">
        <v>115</v>
      </c>
      <c r="E450" s="18" t="s">
        <v>1207</v>
      </c>
      <c r="F450" s="18" t="s">
        <v>161</v>
      </c>
      <c r="G450" s="18" t="s">
        <v>670</v>
      </c>
      <c r="H450" s="18">
        <v>84</v>
      </c>
      <c r="I450" s="18" t="s">
        <v>238</v>
      </c>
      <c r="J450" s="18"/>
      <c r="K450" s="18"/>
      <c r="L450" s="18"/>
      <c r="M450" s="18"/>
      <c r="N450" s="18"/>
      <c r="O450" s="18" t="s">
        <v>163</v>
      </c>
      <c r="P450" s="18"/>
      <c r="Q450" s="18" t="str">
        <f>IFERROR(MATCH(K450,Niveles!$B$2:$B$10,0),"")</f>
        <v/>
      </c>
    </row>
    <row r="451" spans="1:17" x14ac:dyDescent="0.25">
      <c r="A451" s="18" t="s">
        <v>69</v>
      </c>
      <c r="B451" s="18">
        <v>1960</v>
      </c>
      <c r="C451" s="18" t="s">
        <v>1193</v>
      </c>
      <c r="D451" s="18" t="s">
        <v>122</v>
      </c>
      <c r="E451" s="18" t="s">
        <v>1208</v>
      </c>
      <c r="F451" s="18" t="s">
        <v>161</v>
      </c>
      <c r="G451" s="18" t="s">
        <v>1209</v>
      </c>
      <c r="H451" s="18">
        <v>92</v>
      </c>
      <c r="I451" s="18" t="s">
        <v>238</v>
      </c>
      <c r="J451" s="18"/>
      <c r="K451" s="18"/>
      <c r="L451" s="18"/>
      <c r="M451" s="18"/>
      <c r="N451" s="18"/>
      <c r="O451" s="18" t="s">
        <v>163</v>
      </c>
      <c r="P451" s="18"/>
      <c r="Q451" s="18" t="str">
        <f>IFERROR(MATCH(K451,Niveles!$B$2:$B$10,0),"")</f>
        <v/>
      </c>
    </row>
    <row r="452" spans="1:17" x14ac:dyDescent="0.25">
      <c r="A452" s="18" t="s">
        <v>69</v>
      </c>
      <c r="B452" s="18">
        <v>1960</v>
      </c>
      <c r="C452" s="18" t="s">
        <v>1193</v>
      </c>
      <c r="D452" s="18" t="s">
        <v>878</v>
      </c>
      <c r="E452" s="18" t="s">
        <v>1210</v>
      </c>
      <c r="F452" s="18" t="s">
        <v>161</v>
      </c>
      <c r="G452" s="18" t="s">
        <v>1211</v>
      </c>
      <c r="H452" s="18">
        <v>107</v>
      </c>
      <c r="I452" s="18" t="s">
        <v>238</v>
      </c>
      <c r="J452" s="18"/>
      <c r="K452" s="18"/>
      <c r="L452" s="18"/>
      <c r="M452" s="18"/>
      <c r="N452" s="18"/>
      <c r="O452" s="18" t="s">
        <v>163</v>
      </c>
      <c r="P452" s="18"/>
      <c r="Q452" s="18" t="str">
        <f>IFERROR(MATCH(K452,Niveles!$B$2:$B$10,0),"")</f>
        <v/>
      </c>
    </row>
    <row r="453" spans="1:17" x14ac:dyDescent="0.25">
      <c r="A453" s="18" t="s">
        <v>69</v>
      </c>
      <c r="B453" s="18">
        <v>1960</v>
      </c>
      <c r="C453" s="18" t="s">
        <v>1193</v>
      </c>
      <c r="D453" s="18" t="s">
        <v>880</v>
      </c>
      <c r="E453" s="18" t="s">
        <v>918</v>
      </c>
      <c r="F453" s="18" t="s">
        <v>161</v>
      </c>
      <c r="G453" s="18" t="s">
        <v>1113</v>
      </c>
      <c r="H453" s="18">
        <v>122</v>
      </c>
      <c r="I453" s="18" t="s">
        <v>238</v>
      </c>
      <c r="J453" s="18"/>
      <c r="K453" s="18"/>
      <c r="L453" s="18"/>
      <c r="M453" s="18"/>
      <c r="N453" s="18"/>
      <c r="O453" s="18" t="s">
        <v>163</v>
      </c>
      <c r="P453" s="18"/>
      <c r="Q453" s="18" t="str">
        <f>IFERROR(MATCH(K453,Niveles!$B$2:$B$10,0),"")</f>
        <v/>
      </c>
    </row>
    <row r="454" spans="1:17" x14ac:dyDescent="0.25">
      <c r="A454" s="18" t="s">
        <v>69</v>
      </c>
      <c r="B454" s="18">
        <v>1960</v>
      </c>
      <c r="C454" s="18" t="s">
        <v>1193</v>
      </c>
      <c r="D454" s="18" t="s">
        <v>383</v>
      </c>
      <c r="E454" s="18" t="s">
        <v>1212</v>
      </c>
      <c r="F454" s="18" t="s">
        <v>161</v>
      </c>
      <c r="G454" s="18" t="s">
        <v>1113</v>
      </c>
      <c r="H454" s="18">
        <v>122</v>
      </c>
      <c r="I454" s="18" t="s">
        <v>238</v>
      </c>
      <c r="J454" s="18"/>
      <c r="K454" s="18"/>
      <c r="L454" s="18"/>
      <c r="M454" s="18"/>
      <c r="N454" s="18"/>
      <c r="O454" s="18" t="s">
        <v>163</v>
      </c>
      <c r="P454" s="18"/>
      <c r="Q454" s="18" t="str">
        <f>IFERROR(MATCH(K454,Niveles!$B$2:$B$10,0),"")</f>
        <v/>
      </c>
    </row>
    <row r="455" spans="1:17" x14ac:dyDescent="0.25">
      <c r="A455" s="18" t="s">
        <v>69</v>
      </c>
      <c r="B455" s="18">
        <v>1960</v>
      </c>
      <c r="C455" s="18" t="s">
        <v>1193</v>
      </c>
      <c r="D455" s="18" t="s">
        <v>886</v>
      </c>
      <c r="E455" s="18" t="s">
        <v>1213</v>
      </c>
      <c r="F455" s="18" t="s">
        <v>161</v>
      </c>
      <c r="G455" s="18" t="s">
        <v>1214</v>
      </c>
      <c r="H455" s="18">
        <v>129</v>
      </c>
      <c r="I455" s="18" t="s">
        <v>238</v>
      </c>
      <c r="J455" s="18"/>
      <c r="K455" s="18"/>
      <c r="L455" s="18"/>
      <c r="M455" s="18"/>
      <c r="N455" s="18"/>
      <c r="O455" s="18" t="s">
        <v>163</v>
      </c>
      <c r="P455" s="18"/>
      <c r="Q455" s="18" t="str">
        <f>IFERROR(MATCH(K455,Niveles!$B$2:$B$10,0),"")</f>
        <v/>
      </c>
    </row>
    <row r="456" spans="1:17" x14ac:dyDescent="0.25">
      <c r="A456" s="18" t="s">
        <v>69</v>
      </c>
      <c r="B456" s="18">
        <v>1960</v>
      </c>
      <c r="C456" s="18" t="s">
        <v>1193</v>
      </c>
      <c r="D456" s="18" t="s">
        <v>840</v>
      </c>
      <c r="E456" s="18" t="s">
        <v>1215</v>
      </c>
      <c r="F456" s="18" t="s">
        <v>161</v>
      </c>
      <c r="G456" s="18" t="s">
        <v>920</v>
      </c>
      <c r="H456" s="18">
        <v>131</v>
      </c>
      <c r="I456" s="18" t="s">
        <v>238</v>
      </c>
      <c r="J456" s="18"/>
      <c r="K456" s="18"/>
      <c r="L456" s="18"/>
      <c r="M456" s="18"/>
      <c r="N456" s="18"/>
      <c r="O456" s="18" t="s">
        <v>163</v>
      </c>
      <c r="P456" s="18"/>
      <c r="Q456" s="18" t="str">
        <f>IFERROR(MATCH(K456,Niveles!$B$2:$B$10,0),"")</f>
        <v/>
      </c>
    </row>
    <row r="457" spans="1:17" x14ac:dyDescent="0.25">
      <c r="A457" s="18" t="s">
        <v>69</v>
      </c>
      <c r="B457" s="18">
        <v>1960</v>
      </c>
      <c r="C457" s="18" t="s">
        <v>1193</v>
      </c>
      <c r="D457" s="18" t="s">
        <v>843</v>
      </c>
      <c r="E457" s="18" t="s">
        <v>1216</v>
      </c>
      <c r="F457" s="18" t="s">
        <v>161</v>
      </c>
      <c r="G457" s="18" t="s">
        <v>1217</v>
      </c>
      <c r="H457" s="18">
        <v>133</v>
      </c>
      <c r="I457" s="18" t="s">
        <v>238</v>
      </c>
      <c r="J457" s="18"/>
      <c r="K457" s="18"/>
      <c r="L457" s="18"/>
      <c r="M457" s="18"/>
      <c r="N457" s="18"/>
      <c r="O457" s="18" t="s">
        <v>163</v>
      </c>
      <c r="P457" s="18"/>
      <c r="Q457" s="18" t="str">
        <f>IFERROR(MATCH(K457,Niveles!$B$2:$B$10,0),"")</f>
        <v/>
      </c>
    </row>
    <row r="458" spans="1:17" x14ac:dyDescent="0.25">
      <c r="A458" s="18" t="s">
        <v>69</v>
      </c>
      <c r="B458" s="18">
        <v>1960</v>
      </c>
      <c r="C458" s="18" t="s">
        <v>1218</v>
      </c>
      <c r="D458" s="18" t="s">
        <v>1219</v>
      </c>
      <c r="E458" s="18" t="s">
        <v>1220</v>
      </c>
      <c r="F458" s="18" t="s">
        <v>145</v>
      </c>
      <c r="G458" s="18" t="s">
        <v>987</v>
      </c>
      <c r="H458" s="18">
        <v>137</v>
      </c>
      <c r="I458" s="18" t="s">
        <v>238</v>
      </c>
      <c r="J458" s="18" t="s">
        <v>1221</v>
      </c>
      <c r="K458" s="18" t="s">
        <v>106</v>
      </c>
      <c r="L458" s="18"/>
      <c r="M458" s="18" t="s">
        <v>255</v>
      </c>
      <c r="N458" s="18" t="s">
        <v>341</v>
      </c>
      <c r="O458" s="18" t="s">
        <v>163</v>
      </c>
      <c r="P458" s="18"/>
      <c r="Q458" s="18">
        <f>IFERROR(MATCH(K458,Niveles!$B$2:$B$10,0),"")</f>
        <v>7</v>
      </c>
    </row>
    <row r="459" spans="1:17" x14ac:dyDescent="0.25">
      <c r="A459" s="18" t="s">
        <v>69</v>
      </c>
      <c r="B459" s="18">
        <v>1960</v>
      </c>
      <c r="C459" s="18" t="s">
        <v>1218</v>
      </c>
      <c r="D459" s="18" t="s">
        <v>129</v>
      </c>
      <c r="E459" s="18" t="s">
        <v>1222</v>
      </c>
      <c r="F459" s="18" t="s">
        <v>145</v>
      </c>
      <c r="G459" s="18" t="s">
        <v>1117</v>
      </c>
      <c r="H459" s="18">
        <v>138</v>
      </c>
      <c r="I459" s="18" t="s">
        <v>162</v>
      </c>
      <c r="J459" s="18" t="s">
        <v>1221</v>
      </c>
      <c r="K459" s="18" t="s">
        <v>106</v>
      </c>
      <c r="L459" s="18" t="s">
        <v>429</v>
      </c>
      <c r="M459" s="18" t="s">
        <v>255</v>
      </c>
      <c r="N459" s="18" t="s">
        <v>162</v>
      </c>
      <c r="O459" s="18" t="s">
        <v>175</v>
      </c>
      <c r="P459" s="18" t="s">
        <v>1223</v>
      </c>
      <c r="Q459" s="18">
        <f>IFERROR(MATCH(K459,Niveles!$B$2:$B$10,0),"")</f>
        <v>7</v>
      </c>
    </row>
    <row r="460" spans="1:17" x14ac:dyDescent="0.25">
      <c r="A460" s="18" t="s">
        <v>69</v>
      </c>
      <c r="B460" s="18">
        <v>1960</v>
      </c>
      <c r="C460" s="18" t="s">
        <v>1218</v>
      </c>
      <c r="D460" s="18" t="s">
        <v>1224</v>
      </c>
      <c r="E460" s="18" t="s">
        <v>1225</v>
      </c>
      <c r="F460" s="18" t="s">
        <v>145</v>
      </c>
      <c r="G460" s="18" t="s">
        <v>1119</v>
      </c>
      <c r="H460" s="18">
        <v>139</v>
      </c>
      <c r="I460" s="18" t="s">
        <v>162</v>
      </c>
      <c r="J460" s="18" t="s">
        <v>1221</v>
      </c>
      <c r="K460" s="18" t="s">
        <v>106</v>
      </c>
      <c r="L460" s="18"/>
      <c r="M460" s="18" t="s">
        <v>255</v>
      </c>
      <c r="N460" s="18" t="s">
        <v>341</v>
      </c>
      <c r="O460" s="18" t="s">
        <v>163</v>
      </c>
      <c r="P460" s="18"/>
      <c r="Q460" s="18">
        <f>IFERROR(MATCH(K460,Niveles!$B$2:$B$10,0),"")</f>
        <v>7</v>
      </c>
    </row>
    <row r="461" spans="1:17" x14ac:dyDescent="0.25">
      <c r="A461" s="18" t="s">
        <v>69</v>
      </c>
      <c r="B461" s="18">
        <v>1960</v>
      </c>
      <c r="C461" s="18" t="s">
        <v>1218</v>
      </c>
      <c r="D461" s="18" t="s">
        <v>1226</v>
      </c>
      <c r="E461" s="18" t="s">
        <v>1227</v>
      </c>
      <c r="F461" s="18" t="s">
        <v>145</v>
      </c>
      <c r="G461" s="18" t="s">
        <v>314</v>
      </c>
      <c r="H461" s="18">
        <v>141</v>
      </c>
      <c r="I461" s="18" t="s">
        <v>238</v>
      </c>
      <c r="J461" s="18" t="s">
        <v>1221</v>
      </c>
      <c r="K461" s="18" t="s">
        <v>108</v>
      </c>
      <c r="L461" s="18" t="s">
        <v>171</v>
      </c>
      <c r="M461" s="18" t="s">
        <v>255</v>
      </c>
      <c r="N461" s="18" t="s">
        <v>341</v>
      </c>
      <c r="O461" s="18" t="s">
        <v>163</v>
      </c>
      <c r="P461" s="18"/>
      <c r="Q461" s="18">
        <f>IFERROR(MATCH(K461,Niveles!$B$2:$B$10,0),"")</f>
        <v>9</v>
      </c>
    </row>
    <row r="462" spans="1:17" x14ac:dyDescent="0.25">
      <c r="A462" s="18" t="s">
        <v>69</v>
      </c>
      <c r="B462" s="18">
        <v>1960</v>
      </c>
      <c r="C462" s="18" t="s">
        <v>1218</v>
      </c>
      <c r="D462" s="18" t="s">
        <v>135</v>
      </c>
      <c r="E462" s="18" t="s">
        <v>1228</v>
      </c>
      <c r="F462" s="18" t="s">
        <v>145</v>
      </c>
      <c r="G462" s="18" t="s">
        <v>1124</v>
      </c>
      <c r="H462" s="18">
        <v>142</v>
      </c>
      <c r="I462" s="18" t="s">
        <v>162</v>
      </c>
      <c r="J462" s="18" t="s">
        <v>1229</v>
      </c>
      <c r="K462" s="18" t="s">
        <v>106</v>
      </c>
      <c r="L462" s="18" t="s">
        <v>663</v>
      </c>
      <c r="M462" s="18" t="s">
        <v>255</v>
      </c>
      <c r="N462" s="18" t="s">
        <v>162</v>
      </c>
      <c r="O462" s="18" t="s">
        <v>175</v>
      </c>
      <c r="P462" s="18" t="s">
        <v>1230</v>
      </c>
      <c r="Q462" s="18">
        <f>IFERROR(MATCH(K462,Niveles!$B$2:$B$10,0),"")</f>
        <v>7</v>
      </c>
    </row>
    <row r="463" spans="1:17" x14ac:dyDescent="0.25">
      <c r="A463" s="18" t="s">
        <v>69</v>
      </c>
      <c r="B463" s="18">
        <v>1960</v>
      </c>
      <c r="C463" s="18" t="s">
        <v>1218</v>
      </c>
      <c r="D463" s="18" t="s">
        <v>136</v>
      </c>
      <c r="E463" s="18" t="s">
        <v>1231</v>
      </c>
      <c r="F463" s="18" t="s">
        <v>145</v>
      </c>
      <c r="G463" s="18" t="s">
        <v>1232</v>
      </c>
      <c r="H463" s="18">
        <v>144</v>
      </c>
      <c r="I463" s="18" t="s">
        <v>162</v>
      </c>
      <c r="J463" s="18" t="s">
        <v>1229</v>
      </c>
      <c r="K463" s="18" t="s">
        <v>106</v>
      </c>
      <c r="L463" s="18" t="s">
        <v>963</v>
      </c>
      <c r="M463" s="18" t="s">
        <v>255</v>
      </c>
      <c r="N463" s="18" t="s">
        <v>162</v>
      </c>
      <c r="O463" s="18" t="s">
        <v>175</v>
      </c>
      <c r="P463" s="18" t="s">
        <v>1233</v>
      </c>
      <c r="Q463" s="18">
        <f>IFERROR(MATCH(K463,Niveles!$B$2:$B$10,0),"")</f>
        <v>7</v>
      </c>
    </row>
    <row r="464" spans="1:17" x14ac:dyDescent="0.25">
      <c r="A464" s="18" t="s">
        <v>69</v>
      </c>
      <c r="B464" s="18">
        <v>1960</v>
      </c>
      <c r="C464" s="18" t="s">
        <v>1218</v>
      </c>
      <c r="D464" s="18" t="s">
        <v>1234</v>
      </c>
      <c r="E464" s="18" t="s">
        <v>1235</v>
      </c>
      <c r="F464" s="18" t="s">
        <v>145</v>
      </c>
      <c r="G464" s="18" t="s">
        <v>1126</v>
      </c>
      <c r="H464" s="18">
        <v>146</v>
      </c>
      <c r="I464" s="18" t="s">
        <v>238</v>
      </c>
      <c r="J464" s="18" t="s">
        <v>1229</v>
      </c>
      <c r="K464" s="18" t="s">
        <v>125</v>
      </c>
      <c r="L464" s="18" t="s">
        <v>171</v>
      </c>
      <c r="M464" s="18" t="s">
        <v>172</v>
      </c>
      <c r="N464" s="18" t="s">
        <v>341</v>
      </c>
      <c r="O464" s="18" t="s">
        <v>163</v>
      </c>
      <c r="P464" s="18"/>
      <c r="Q464" s="18">
        <f>IFERROR(MATCH(K464,Niveles!$B$2:$B$10,0),"")</f>
        <v>3</v>
      </c>
    </row>
    <row r="465" spans="1:17" x14ac:dyDescent="0.25">
      <c r="A465" s="18" t="s">
        <v>69</v>
      </c>
      <c r="B465" s="18">
        <v>1960</v>
      </c>
      <c r="C465" s="18" t="s">
        <v>1218</v>
      </c>
      <c r="D465" s="18" t="s">
        <v>1236</v>
      </c>
      <c r="E465" s="18" t="s">
        <v>1237</v>
      </c>
      <c r="F465" s="18" t="s">
        <v>145</v>
      </c>
      <c r="G465" s="18" t="s">
        <v>995</v>
      </c>
      <c r="H465" s="18">
        <v>155</v>
      </c>
      <c r="I465" s="18" t="s">
        <v>238</v>
      </c>
      <c r="J465" s="18"/>
      <c r="K465" s="18"/>
      <c r="L465" s="18"/>
      <c r="M465" s="18"/>
      <c r="N465" s="18"/>
      <c r="O465" s="18" t="s">
        <v>163</v>
      </c>
      <c r="P465" s="18"/>
      <c r="Q465" s="18" t="str">
        <f>IFERROR(MATCH(K465,Niveles!$B$2:$B$10,0),"")</f>
        <v/>
      </c>
    </row>
    <row r="466" spans="1:17" x14ac:dyDescent="0.25">
      <c r="A466" s="18" t="s">
        <v>69</v>
      </c>
      <c r="B466" s="18">
        <v>1960</v>
      </c>
      <c r="C466" s="18" t="s">
        <v>1218</v>
      </c>
      <c r="D466" s="18" t="s">
        <v>137</v>
      </c>
      <c r="E466" s="18" t="s">
        <v>1238</v>
      </c>
      <c r="F466" s="18" t="s">
        <v>145</v>
      </c>
      <c r="G466" s="18" t="s">
        <v>1239</v>
      </c>
      <c r="H466" s="18">
        <v>156</v>
      </c>
      <c r="I466" s="18" t="s">
        <v>162</v>
      </c>
      <c r="J466" s="18" t="s">
        <v>1229</v>
      </c>
      <c r="K466" s="18" t="s">
        <v>108</v>
      </c>
      <c r="L466" s="18" t="s">
        <v>981</v>
      </c>
      <c r="M466" s="18" t="s">
        <v>255</v>
      </c>
      <c r="N466" s="18" t="s">
        <v>162</v>
      </c>
      <c r="O466" s="18" t="s">
        <v>175</v>
      </c>
      <c r="P466" s="18" t="s">
        <v>1240</v>
      </c>
      <c r="Q466" s="18">
        <f>IFERROR(MATCH(K466,Niveles!$B$2:$B$10,0),"")</f>
        <v>9</v>
      </c>
    </row>
    <row r="467" spans="1:17" x14ac:dyDescent="0.25">
      <c r="A467" s="18" t="s">
        <v>69</v>
      </c>
      <c r="B467" s="18">
        <v>1960</v>
      </c>
      <c r="C467" s="18" t="s">
        <v>1218</v>
      </c>
      <c r="D467" s="18" t="s">
        <v>1241</v>
      </c>
      <c r="E467" s="18" t="s">
        <v>1242</v>
      </c>
      <c r="F467" s="18" t="s">
        <v>145</v>
      </c>
      <c r="G467" s="18" t="s">
        <v>1243</v>
      </c>
      <c r="H467" s="18">
        <v>161</v>
      </c>
      <c r="I467" s="18" t="s">
        <v>238</v>
      </c>
      <c r="J467" s="18"/>
      <c r="K467" s="18"/>
      <c r="L467" s="18"/>
      <c r="M467" s="18"/>
      <c r="N467" s="18"/>
      <c r="O467" s="18" t="s">
        <v>163</v>
      </c>
      <c r="P467" s="18"/>
      <c r="Q467" s="18" t="str">
        <f>IFERROR(MATCH(K467,Niveles!$B$2:$B$10,0),"")</f>
        <v/>
      </c>
    </row>
    <row r="468" spans="1:17" x14ac:dyDescent="0.25">
      <c r="A468" s="18" t="s">
        <v>69</v>
      </c>
      <c r="B468" s="18">
        <v>1960</v>
      </c>
      <c r="C468" s="18" t="s">
        <v>1218</v>
      </c>
      <c r="D468" s="18" t="s">
        <v>1244</v>
      </c>
      <c r="E468" s="18" t="s">
        <v>1245</v>
      </c>
      <c r="F468" s="18" t="s">
        <v>145</v>
      </c>
      <c r="G468" s="18" t="s">
        <v>1246</v>
      </c>
      <c r="H468" s="18">
        <v>166</v>
      </c>
      <c r="I468" s="18" t="s">
        <v>238</v>
      </c>
      <c r="J468" s="18"/>
      <c r="K468" s="18"/>
      <c r="L468" s="18"/>
      <c r="M468" s="18"/>
      <c r="N468" s="18"/>
      <c r="O468" s="18" t="s">
        <v>163</v>
      </c>
      <c r="P468" s="18"/>
      <c r="Q468" s="18" t="str">
        <f>IFERROR(MATCH(K468,Niveles!$B$2:$B$10,0),"")</f>
        <v/>
      </c>
    </row>
    <row r="469" spans="1:17" x14ac:dyDescent="0.25">
      <c r="A469" s="18" t="s">
        <v>69</v>
      </c>
      <c r="B469" s="18">
        <v>1960</v>
      </c>
      <c r="C469" s="18" t="s">
        <v>1218</v>
      </c>
      <c r="D469" s="18" t="s">
        <v>1247</v>
      </c>
      <c r="E469" s="18" t="s">
        <v>1248</v>
      </c>
      <c r="F469" s="18" t="s">
        <v>145</v>
      </c>
      <c r="G469" s="18" t="s">
        <v>1249</v>
      </c>
      <c r="H469" s="18">
        <v>169</v>
      </c>
      <c r="I469" s="18" t="s">
        <v>238</v>
      </c>
      <c r="J469" s="18"/>
      <c r="K469" s="18"/>
      <c r="L469" s="18"/>
      <c r="M469" s="18"/>
      <c r="N469" s="18"/>
      <c r="O469" s="18" t="s">
        <v>163</v>
      </c>
      <c r="P469" s="18"/>
      <c r="Q469" s="18" t="str">
        <f>IFERROR(MATCH(K469,Niveles!$B$2:$B$10,0),"")</f>
        <v/>
      </c>
    </row>
    <row r="470" spans="1:17" x14ac:dyDescent="0.25">
      <c r="A470" s="18" t="s">
        <v>69</v>
      </c>
      <c r="B470" s="18">
        <v>1960</v>
      </c>
      <c r="C470" s="18" t="s">
        <v>1218</v>
      </c>
      <c r="D470" s="18" t="s">
        <v>1250</v>
      </c>
      <c r="E470" s="18" t="s">
        <v>1251</v>
      </c>
      <c r="F470" s="18" t="s">
        <v>145</v>
      </c>
      <c r="G470" s="18" t="s">
        <v>1252</v>
      </c>
      <c r="H470" s="18">
        <v>172</v>
      </c>
      <c r="I470" s="18" t="s">
        <v>238</v>
      </c>
      <c r="J470" s="18"/>
      <c r="K470" s="18"/>
      <c r="L470" s="18"/>
      <c r="M470" s="18"/>
      <c r="N470" s="18"/>
      <c r="O470" s="18" t="s">
        <v>163</v>
      </c>
      <c r="P470" s="18"/>
      <c r="Q470" s="18" t="str">
        <f>IFERROR(MATCH(K470,Niveles!$B$2:$B$10,0),"")</f>
        <v/>
      </c>
    </row>
    <row r="471" spans="1:17" x14ac:dyDescent="0.25">
      <c r="A471" s="18" t="s">
        <v>69</v>
      </c>
      <c r="B471" s="18">
        <v>1960</v>
      </c>
      <c r="C471" s="18" t="s">
        <v>1218</v>
      </c>
      <c r="D471" s="18" t="s">
        <v>1253</v>
      </c>
      <c r="E471" s="18" t="s">
        <v>1254</v>
      </c>
      <c r="F471" s="18" t="s">
        <v>145</v>
      </c>
      <c r="G471" s="18" t="s">
        <v>1255</v>
      </c>
      <c r="H471" s="18">
        <v>175</v>
      </c>
      <c r="I471" s="18" t="s">
        <v>238</v>
      </c>
      <c r="J471" s="18"/>
      <c r="K471" s="18"/>
      <c r="L471" s="18"/>
      <c r="M471" s="18"/>
      <c r="N471" s="18"/>
      <c r="O471" s="18" t="s">
        <v>163</v>
      </c>
      <c r="P471" s="18"/>
      <c r="Q471" s="18" t="str">
        <f>IFERROR(MATCH(K471,Niveles!$B$2:$B$10,0),"")</f>
        <v/>
      </c>
    </row>
    <row r="472" spans="1:17" x14ac:dyDescent="0.25">
      <c r="A472" s="18" t="s">
        <v>69</v>
      </c>
      <c r="B472" s="18">
        <v>1960</v>
      </c>
      <c r="C472" s="18" t="s">
        <v>1218</v>
      </c>
      <c r="D472" s="18" t="s">
        <v>1256</v>
      </c>
      <c r="E472" s="18" t="s">
        <v>1257</v>
      </c>
      <c r="F472" s="18" t="s">
        <v>145</v>
      </c>
      <c r="G472" s="18" t="s">
        <v>1258</v>
      </c>
      <c r="H472" s="18">
        <v>184</v>
      </c>
      <c r="I472" s="18" t="s">
        <v>238</v>
      </c>
      <c r="J472" s="18"/>
      <c r="K472" s="18"/>
      <c r="L472" s="18"/>
      <c r="M472" s="18"/>
      <c r="N472" s="18"/>
      <c r="O472" s="18" t="s">
        <v>163</v>
      </c>
      <c r="P472" s="18"/>
      <c r="Q472" s="18" t="str">
        <f>IFERROR(MATCH(K472,Niveles!$B$2:$B$10,0),"")</f>
        <v/>
      </c>
    </row>
    <row r="473" spans="1:17" x14ac:dyDescent="0.25">
      <c r="A473" s="18" t="s">
        <v>69</v>
      </c>
      <c r="B473" s="18">
        <v>1960</v>
      </c>
      <c r="C473" s="18" t="s">
        <v>1218</v>
      </c>
      <c r="D473" s="18" t="s">
        <v>1259</v>
      </c>
      <c r="E473" s="18" t="s">
        <v>1260</v>
      </c>
      <c r="F473" s="18" t="s">
        <v>145</v>
      </c>
      <c r="G473" s="18" t="s">
        <v>1261</v>
      </c>
      <c r="H473" s="18">
        <v>196</v>
      </c>
      <c r="I473" s="18" t="s">
        <v>238</v>
      </c>
      <c r="J473" s="18"/>
      <c r="K473" s="18"/>
      <c r="L473" s="18"/>
      <c r="M473" s="18"/>
      <c r="N473" s="18"/>
      <c r="O473" s="18" t="s">
        <v>163</v>
      </c>
      <c r="P473" s="18"/>
      <c r="Q473" s="18" t="str">
        <f>IFERROR(MATCH(K473,Niveles!$B$2:$B$10,0),"")</f>
        <v/>
      </c>
    </row>
    <row r="474" spans="1:17" x14ac:dyDescent="0.25">
      <c r="A474" s="18" t="s">
        <v>69</v>
      </c>
      <c r="B474" s="18">
        <v>1960</v>
      </c>
      <c r="C474" s="18" t="s">
        <v>1218</v>
      </c>
      <c r="D474" s="18" t="s">
        <v>1262</v>
      </c>
      <c r="E474" s="18" t="s">
        <v>1263</v>
      </c>
      <c r="F474" s="18" t="s">
        <v>145</v>
      </c>
      <c r="G474" s="18" t="s">
        <v>267</v>
      </c>
      <c r="H474" s="18">
        <v>200</v>
      </c>
      <c r="I474" s="18" t="s">
        <v>238</v>
      </c>
      <c r="J474" s="18"/>
      <c r="K474" s="18"/>
      <c r="L474" s="18"/>
      <c r="M474" s="18"/>
      <c r="N474" s="18"/>
      <c r="O474" s="18" t="s">
        <v>163</v>
      </c>
      <c r="P474" s="18"/>
      <c r="Q474" s="18" t="str">
        <f>IFERROR(MATCH(K474,Niveles!$B$2:$B$10,0),"")</f>
        <v/>
      </c>
    </row>
    <row r="475" spans="1:17" x14ac:dyDescent="0.25">
      <c r="A475" s="18" t="s">
        <v>69</v>
      </c>
      <c r="B475" s="18">
        <v>1960</v>
      </c>
      <c r="C475" s="18" t="s">
        <v>1218</v>
      </c>
      <c r="D475" s="18" t="s">
        <v>1264</v>
      </c>
      <c r="E475" s="18" t="s">
        <v>1265</v>
      </c>
      <c r="F475" s="18" t="s">
        <v>145</v>
      </c>
      <c r="G475" s="18" t="s">
        <v>269</v>
      </c>
      <c r="H475" s="18">
        <v>201</v>
      </c>
      <c r="I475" s="18" t="s">
        <v>238</v>
      </c>
      <c r="J475" s="18"/>
      <c r="K475" s="18"/>
      <c r="L475" s="18"/>
      <c r="M475" s="18"/>
      <c r="N475" s="18"/>
      <c r="O475" s="18" t="s">
        <v>163</v>
      </c>
      <c r="P475" s="18"/>
      <c r="Q475" s="18" t="str">
        <f>IFERROR(MATCH(K475,Niveles!$B$2:$B$10,0),"")</f>
        <v/>
      </c>
    </row>
    <row r="476" spans="1:17" x14ac:dyDescent="0.25">
      <c r="A476" s="18" t="s">
        <v>69</v>
      </c>
      <c r="B476" s="18">
        <v>1960</v>
      </c>
      <c r="C476" s="18" t="s">
        <v>1218</v>
      </c>
      <c r="D476" s="18" t="s">
        <v>1266</v>
      </c>
      <c r="E476" s="18" t="s">
        <v>1267</v>
      </c>
      <c r="F476" s="18" t="s">
        <v>145</v>
      </c>
      <c r="G476" s="18" t="s">
        <v>1268</v>
      </c>
      <c r="H476" s="18">
        <v>203</v>
      </c>
      <c r="I476" s="18" t="s">
        <v>238</v>
      </c>
      <c r="J476" s="18"/>
      <c r="K476" s="18"/>
      <c r="L476" s="18"/>
      <c r="M476" s="18"/>
      <c r="N476" s="18"/>
      <c r="O476" s="18" t="s">
        <v>163</v>
      </c>
      <c r="P476" s="18"/>
      <c r="Q476" s="18" t="str">
        <f>IFERROR(MATCH(K476,Niveles!$B$2:$B$10,0),"")</f>
        <v/>
      </c>
    </row>
    <row r="477" spans="1:17" x14ac:dyDescent="0.25">
      <c r="A477" s="18" t="s">
        <v>69</v>
      </c>
      <c r="B477" s="18">
        <v>1960</v>
      </c>
      <c r="C477" s="18" t="s">
        <v>1218</v>
      </c>
      <c r="D477" s="18" t="s">
        <v>1269</v>
      </c>
      <c r="E477" s="18" t="s">
        <v>1270</v>
      </c>
      <c r="F477" s="18" t="s">
        <v>145</v>
      </c>
      <c r="G477" s="18" t="s">
        <v>1271</v>
      </c>
      <c r="H477" s="18">
        <v>205</v>
      </c>
      <c r="I477" s="18" t="s">
        <v>238</v>
      </c>
      <c r="J477" s="18"/>
      <c r="K477" s="18"/>
      <c r="L477" s="18"/>
      <c r="M477" s="18"/>
      <c r="N477" s="18"/>
      <c r="O477" s="18" t="s">
        <v>163</v>
      </c>
      <c r="P477" s="18"/>
      <c r="Q477" s="18" t="str">
        <f>IFERROR(MATCH(K477,Niveles!$B$2:$B$10,0),"")</f>
        <v/>
      </c>
    </row>
    <row r="478" spans="1:17" x14ac:dyDescent="0.25">
      <c r="A478" s="18" t="s">
        <v>69</v>
      </c>
      <c r="B478" s="18">
        <v>1960</v>
      </c>
      <c r="C478" s="18" t="s">
        <v>1218</v>
      </c>
      <c r="D478" s="18" t="s">
        <v>1272</v>
      </c>
      <c r="E478" s="18" t="s">
        <v>1273</v>
      </c>
      <c r="F478" s="18" t="s">
        <v>145</v>
      </c>
      <c r="G478" s="18" t="s">
        <v>1274</v>
      </c>
      <c r="H478" s="18">
        <v>207</v>
      </c>
      <c r="I478" s="18" t="s">
        <v>238</v>
      </c>
      <c r="J478" s="18"/>
      <c r="K478" s="18"/>
      <c r="L478" s="18"/>
      <c r="M478" s="18"/>
      <c r="N478" s="18"/>
      <c r="O478" s="18" t="s">
        <v>163</v>
      </c>
      <c r="P478" s="18"/>
      <c r="Q478" s="18" t="str">
        <f>IFERROR(MATCH(K478,Niveles!$B$2:$B$10,0),"")</f>
        <v/>
      </c>
    </row>
    <row r="479" spans="1:17" x14ac:dyDescent="0.25">
      <c r="A479" s="18" t="s">
        <v>69</v>
      </c>
      <c r="B479" s="18">
        <v>1960</v>
      </c>
      <c r="C479" s="18" t="s">
        <v>1218</v>
      </c>
      <c r="D479" s="18" t="s">
        <v>1275</v>
      </c>
      <c r="E479" s="18" t="s">
        <v>1276</v>
      </c>
      <c r="F479" s="18" t="s">
        <v>145</v>
      </c>
      <c r="G479" s="18" t="s">
        <v>401</v>
      </c>
      <c r="H479" s="18">
        <v>209</v>
      </c>
      <c r="I479" s="18" t="s">
        <v>238</v>
      </c>
      <c r="J479" s="18"/>
      <c r="K479" s="18"/>
      <c r="L479" s="18"/>
      <c r="M479" s="18"/>
      <c r="N479" s="18"/>
      <c r="O479" s="18" t="s">
        <v>163</v>
      </c>
      <c r="P479" s="18"/>
      <c r="Q479" s="18" t="str">
        <f>IFERROR(MATCH(K479,Niveles!$B$2:$B$10,0),"")</f>
        <v/>
      </c>
    </row>
    <row r="480" spans="1:17" x14ac:dyDescent="0.25">
      <c r="A480" s="18" t="s">
        <v>69</v>
      </c>
      <c r="B480" s="18">
        <v>1960</v>
      </c>
      <c r="C480" s="18" t="s">
        <v>1218</v>
      </c>
      <c r="D480" s="18" t="s">
        <v>1277</v>
      </c>
      <c r="E480" s="18" t="s">
        <v>1278</v>
      </c>
      <c r="F480" s="18" t="s">
        <v>145</v>
      </c>
      <c r="G480" s="18" t="s">
        <v>323</v>
      </c>
      <c r="H480" s="18">
        <v>211</v>
      </c>
      <c r="I480" s="18" t="s">
        <v>238</v>
      </c>
      <c r="J480" s="18"/>
      <c r="K480" s="18"/>
      <c r="L480" s="18"/>
      <c r="M480" s="18"/>
      <c r="N480" s="18"/>
      <c r="O480" s="18" t="s">
        <v>163</v>
      </c>
      <c r="P480" s="18"/>
      <c r="Q480" s="18" t="str">
        <f>IFERROR(MATCH(K480,Niveles!$B$2:$B$10,0),"")</f>
        <v/>
      </c>
    </row>
    <row r="481" spans="1:17" x14ac:dyDescent="0.25">
      <c r="A481" s="18" t="s">
        <v>69</v>
      </c>
      <c r="B481" s="18">
        <v>1960</v>
      </c>
      <c r="C481" s="18" t="s">
        <v>1218</v>
      </c>
      <c r="D481" s="18" t="s">
        <v>1279</v>
      </c>
      <c r="E481" s="18" t="s">
        <v>1280</v>
      </c>
      <c r="F481" s="18" t="s">
        <v>145</v>
      </c>
      <c r="G481" s="18" t="s">
        <v>1281</v>
      </c>
      <c r="H481" s="18">
        <v>213</v>
      </c>
      <c r="I481" s="18" t="s">
        <v>238</v>
      </c>
      <c r="J481" s="18"/>
      <c r="K481" s="18"/>
      <c r="L481" s="18"/>
      <c r="M481" s="18"/>
      <c r="N481" s="18"/>
      <c r="O481" s="18" t="s">
        <v>163</v>
      </c>
      <c r="P481" s="18"/>
      <c r="Q481" s="18" t="str">
        <f>IFERROR(MATCH(K481,Niveles!$B$2:$B$10,0),"")</f>
        <v/>
      </c>
    </row>
    <row r="482" spans="1:17" x14ac:dyDescent="0.25">
      <c r="A482" s="18" t="s">
        <v>69</v>
      </c>
      <c r="B482" s="18">
        <v>1960</v>
      </c>
      <c r="C482" s="18" t="s">
        <v>1218</v>
      </c>
      <c r="D482" s="18" t="s">
        <v>1282</v>
      </c>
      <c r="E482" s="18" t="s">
        <v>1283</v>
      </c>
      <c r="F482" s="18" t="s">
        <v>145</v>
      </c>
      <c r="G482" s="18" t="s">
        <v>1284</v>
      </c>
      <c r="H482" s="18">
        <v>215</v>
      </c>
      <c r="I482" s="18" t="s">
        <v>238</v>
      </c>
      <c r="J482" s="18"/>
      <c r="K482" s="18"/>
      <c r="L482" s="18"/>
      <c r="M482" s="18"/>
      <c r="N482" s="18"/>
      <c r="O482" s="18" t="s">
        <v>163</v>
      </c>
      <c r="P482" s="18"/>
      <c r="Q482" s="18" t="str">
        <f>IFERROR(MATCH(K482,Niveles!$B$2:$B$10,0),"")</f>
        <v/>
      </c>
    </row>
    <row r="483" spans="1:17" x14ac:dyDescent="0.25">
      <c r="A483" s="18" t="s">
        <v>69</v>
      </c>
      <c r="B483" s="18">
        <v>1960</v>
      </c>
      <c r="C483" s="18" t="s">
        <v>1218</v>
      </c>
      <c r="D483" s="18" t="s">
        <v>1285</v>
      </c>
      <c r="E483" s="18" t="s">
        <v>1286</v>
      </c>
      <c r="F483" s="18" t="s">
        <v>145</v>
      </c>
      <c r="G483" s="18" t="s">
        <v>930</v>
      </c>
      <c r="H483" s="18">
        <v>216</v>
      </c>
      <c r="I483" s="18" t="s">
        <v>238</v>
      </c>
      <c r="J483" s="18"/>
      <c r="K483" s="18"/>
      <c r="L483" s="18"/>
      <c r="M483" s="18"/>
      <c r="N483" s="18"/>
      <c r="O483" s="18" t="s">
        <v>163</v>
      </c>
      <c r="P483" s="18"/>
      <c r="Q483" s="18" t="str">
        <f>IFERROR(MATCH(K483,Niveles!$B$2:$B$10,0),"")</f>
        <v/>
      </c>
    </row>
    <row r="484" spans="1:17" x14ac:dyDescent="0.25">
      <c r="A484" s="18" t="s">
        <v>69</v>
      </c>
      <c r="B484" s="18">
        <v>1960</v>
      </c>
      <c r="C484" s="18" t="s">
        <v>1218</v>
      </c>
      <c r="D484" s="18" t="s">
        <v>1287</v>
      </c>
      <c r="E484" s="18" t="s">
        <v>1288</v>
      </c>
      <c r="F484" s="18" t="s">
        <v>145</v>
      </c>
      <c r="G484" s="18" t="s">
        <v>1025</v>
      </c>
      <c r="H484" s="18">
        <v>219</v>
      </c>
      <c r="I484" s="18" t="s">
        <v>238</v>
      </c>
      <c r="J484" s="18"/>
      <c r="K484" s="18"/>
      <c r="L484" s="18"/>
      <c r="M484" s="18"/>
      <c r="N484" s="18"/>
      <c r="O484" s="18" t="s">
        <v>163</v>
      </c>
      <c r="P484" s="18"/>
      <c r="Q484" s="18" t="str">
        <f>IFERROR(MATCH(K484,Niveles!$B$2:$B$10,0),"")</f>
        <v/>
      </c>
    </row>
    <row r="485" spans="1:17" x14ac:dyDescent="0.25">
      <c r="A485" s="18" t="s">
        <v>69</v>
      </c>
      <c r="B485" s="18">
        <v>1960</v>
      </c>
      <c r="C485" s="18" t="s">
        <v>1289</v>
      </c>
      <c r="D485" s="18" t="s">
        <v>1290</v>
      </c>
      <c r="E485" s="18" t="s">
        <v>1291</v>
      </c>
      <c r="F485" s="18" t="s">
        <v>145</v>
      </c>
      <c r="G485" s="18" t="s">
        <v>1292</v>
      </c>
      <c r="H485" s="18">
        <v>222</v>
      </c>
      <c r="I485" s="18" t="s">
        <v>238</v>
      </c>
      <c r="J485" s="18"/>
      <c r="K485" s="18"/>
      <c r="L485" s="18"/>
      <c r="M485" s="18"/>
      <c r="N485" s="18"/>
      <c r="O485" s="18" t="s">
        <v>163</v>
      </c>
      <c r="P485" s="18"/>
      <c r="Q485" s="18" t="str">
        <f>IFERROR(MATCH(K485,Niveles!$B$2:$B$10,0),"")</f>
        <v/>
      </c>
    </row>
    <row r="486" spans="1:17" x14ac:dyDescent="0.25">
      <c r="A486" s="18" t="s">
        <v>69</v>
      </c>
      <c r="B486" s="18">
        <v>1960</v>
      </c>
      <c r="C486" s="18" t="s">
        <v>1289</v>
      </c>
      <c r="D486" s="18" t="s">
        <v>1293</v>
      </c>
      <c r="E486" s="18" t="s">
        <v>1294</v>
      </c>
      <c r="F486" s="18" t="s">
        <v>145</v>
      </c>
      <c r="G486" s="18" t="s">
        <v>1295</v>
      </c>
      <c r="H486" s="18">
        <v>227</v>
      </c>
      <c r="I486" s="18" t="s">
        <v>238</v>
      </c>
      <c r="J486" s="18"/>
      <c r="K486" s="18"/>
      <c r="L486" s="18"/>
      <c r="M486" s="18"/>
      <c r="N486" s="18"/>
      <c r="O486" s="18" t="s">
        <v>163</v>
      </c>
      <c r="P486" s="18"/>
      <c r="Q486" s="18" t="str">
        <f>IFERROR(MATCH(K486,Niveles!$B$2:$B$10,0),"")</f>
        <v/>
      </c>
    </row>
    <row r="487" spans="1:17" x14ac:dyDescent="0.25">
      <c r="A487" s="18" t="s">
        <v>69</v>
      </c>
      <c r="B487" s="18">
        <v>1960</v>
      </c>
      <c r="C487" s="18" t="s">
        <v>1289</v>
      </c>
      <c r="D487" s="18" t="s">
        <v>1296</v>
      </c>
      <c r="E487" s="18" t="s">
        <v>1297</v>
      </c>
      <c r="F487" s="18" t="s">
        <v>145</v>
      </c>
      <c r="G487" s="18" t="s">
        <v>1030</v>
      </c>
      <c r="H487" s="18">
        <v>229</v>
      </c>
      <c r="I487" s="18" t="s">
        <v>238</v>
      </c>
      <c r="J487" s="18"/>
      <c r="K487" s="18"/>
      <c r="L487" s="18"/>
      <c r="M487" s="18"/>
      <c r="N487" s="18"/>
      <c r="O487" s="18" t="s">
        <v>163</v>
      </c>
      <c r="P487" s="18"/>
      <c r="Q487" s="18" t="str">
        <f>IFERROR(MATCH(K487,Niveles!$B$2:$B$10,0),"")</f>
        <v/>
      </c>
    </row>
    <row r="488" spans="1:17" x14ac:dyDescent="0.25">
      <c r="A488" s="18" t="s">
        <v>69</v>
      </c>
      <c r="B488" s="18">
        <v>1960</v>
      </c>
      <c r="C488" s="18" t="s">
        <v>1289</v>
      </c>
      <c r="D488" s="18" t="s">
        <v>1298</v>
      </c>
      <c r="E488" s="18" t="s">
        <v>1299</v>
      </c>
      <c r="F488" s="18" t="s">
        <v>145</v>
      </c>
      <c r="G488" s="18" t="s">
        <v>1300</v>
      </c>
      <c r="H488" s="18">
        <v>232</v>
      </c>
      <c r="I488" s="18" t="s">
        <v>238</v>
      </c>
      <c r="J488" s="18"/>
      <c r="K488" s="18"/>
      <c r="L488" s="18"/>
      <c r="M488" s="18"/>
      <c r="N488" s="18"/>
      <c r="O488" s="18" t="s">
        <v>163</v>
      </c>
      <c r="P488" s="18"/>
      <c r="Q488" s="18" t="str">
        <f>IFERROR(MATCH(K488,Niveles!$B$2:$B$10,0),"")</f>
        <v/>
      </c>
    </row>
    <row r="489" spans="1:17" x14ac:dyDescent="0.25">
      <c r="A489" s="18" t="s">
        <v>69</v>
      </c>
      <c r="B489" s="18">
        <v>1960</v>
      </c>
      <c r="C489" s="18" t="s">
        <v>1289</v>
      </c>
      <c r="D489" s="18" t="s">
        <v>1301</v>
      </c>
      <c r="E489" s="18" t="s">
        <v>1302</v>
      </c>
      <c r="F489" s="18" t="s">
        <v>145</v>
      </c>
      <c r="G489" s="18" t="s">
        <v>1303</v>
      </c>
      <c r="H489" s="18">
        <v>259</v>
      </c>
      <c r="I489" s="18" t="s">
        <v>238</v>
      </c>
      <c r="J489" s="18"/>
      <c r="K489" s="18"/>
      <c r="L489" s="18"/>
      <c r="M489" s="18"/>
      <c r="N489" s="18"/>
      <c r="O489" s="18" t="s">
        <v>163</v>
      </c>
      <c r="P489" s="18"/>
      <c r="Q489" s="18" t="str">
        <f>IFERROR(MATCH(K489,Niveles!$B$2:$B$10,0),"")</f>
        <v/>
      </c>
    </row>
    <row r="490" spans="1:17" x14ac:dyDescent="0.25">
      <c r="A490" s="18" t="s">
        <v>69</v>
      </c>
      <c r="B490" s="18">
        <v>1960</v>
      </c>
      <c r="C490" s="18" t="s">
        <v>1289</v>
      </c>
      <c r="D490" s="18" t="s">
        <v>1304</v>
      </c>
      <c r="E490" s="18" t="s">
        <v>1305</v>
      </c>
      <c r="F490" s="18" t="s">
        <v>145</v>
      </c>
      <c r="G490" s="18" t="s">
        <v>1133</v>
      </c>
      <c r="H490" s="18">
        <v>274</v>
      </c>
      <c r="I490" s="18" t="s">
        <v>238</v>
      </c>
      <c r="J490" s="18"/>
      <c r="K490" s="18"/>
      <c r="L490" s="18"/>
      <c r="M490" s="18"/>
      <c r="N490" s="18"/>
      <c r="O490" s="18" t="s">
        <v>163</v>
      </c>
      <c r="P490" s="18"/>
      <c r="Q490" s="18" t="str">
        <f>IFERROR(MATCH(K490,Niveles!$B$2:$B$10,0),"")</f>
        <v/>
      </c>
    </row>
    <row r="491" spans="1:17" x14ac:dyDescent="0.25">
      <c r="A491" s="18" t="s">
        <v>69</v>
      </c>
      <c r="B491" s="18">
        <v>1960</v>
      </c>
      <c r="C491" s="18" t="s">
        <v>1289</v>
      </c>
      <c r="D491" s="18" t="s">
        <v>1306</v>
      </c>
      <c r="E491" s="18" t="s">
        <v>1307</v>
      </c>
      <c r="F491" s="18" t="s">
        <v>145</v>
      </c>
      <c r="G491" s="18" t="s">
        <v>1134</v>
      </c>
      <c r="H491" s="18">
        <v>276</v>
      </c>
      <c r="I491" s="18" t="s">
        <v>238</v>
      </c>
      <c r="J491" s="18"/>
      <c r="K491" s="18"/>
      <c r="L491" s="18"/>
      <c r="M491" s="18"/>
      <c r="N491" s="18"/>
      <c r="O491" s="18" t="s">
        <v>163</v>
      </c>
      <c r="P491" s="18"/>
      <c r="Q491" s="18" t="str">
        <f>IFERROR(MATCH(K491,Niveles!$B$2:$B$10,0),"")</f>
        <v/>
      </c>
    </row>
    <row r="492" spans="1:17" x14ac:dyDescent="0.25">
      <c r="A492" s="18" t="s">
        <v>69</v>
      </c>
      <c r="B492" s="18">
        <v>1960</v>
      </c>
      <c r="C492" s="18" t="s">
        <v>1289</v>
      </c>
      <c r="D492" s="18" t="s">
        <v>1308</v>
      </c>
      <c r="E492" s="18" t="s">
        <v>1309</v>
      </c>
      <c r="F492" s="18" t="s">
        <v>145</v>
      </c>
      <c r="G492" s="18" t="s">
        <v>1310</v>
      </c>
      <c r="H492" s="18">
        <v>280</v>
      </c>
      <c r="I492" s="18" t="s">
        <v>238</v>
      </c>
      <c r="J492" s="18"/>
      <c r="K492" s="18"/>
      <c r="L492" s="18"/>
      <c r="M492" s="18"/>
      <c r="N492" s="18"/>
      <c r="O492" s="18" t="s">
        <v>163</v>
      </c>
      <c r="P492" s="18"/>
      <c r="Q492" s="18" t="str">
        <f>IFERROR(MATCH(K492,Niveles!$B$2:$B$10,0),"")</f>
        <v/>
      </c>
    </row>
    <row r="493" spans="1:17" x14ac:dyDescent="0.25">
      <c r="A493" s="18" t="s">
        <v>69</v>
      </c>
      <c r="B493" s="18">
        <v>1960</v>
      </c>
      <c r="C493" s="18" t="s">
        <v>1289</v>
      </c>
      <c r="D493" s="18" t="s">
        <v>1311</v>
      </c>
      <c r="E493" s="18" t="s">
        <v>1312</v>
      </c>
      <c r="F493" s="18" t="s">
        <v>145</v>
      </c>
      <c r="G493" s="18" t="s">
        <v>1313</v>
      </c>
      <c r="H493" s="18">
        <v>281</v>
      </c>
      <c r="I493" s="18" t="s">
        <v>238</v>
      </c>
      <c r="J493" s="18"/>
      <c r="K493" s="18"/>
      <c r="L493" s="18"/>
      <c r="M493" s="18"/>
      <c r="N493" s="18"/>
      <c r="O493" s="18" t="s">
        <v>163</v>
      </c>
      <c r="P493" s="18"/>
      <c r="Q493" s="18" t="str">
        <f>IFERROR(MATCH(K493,Niveles!$B$2:$B$10,0),"")</f>
        <v/>
      </c>
    </row>
    <row r="494" spans="1:17" x14ac:dyDescent="0.25">
      <c r="A494" s="18" t="s">
        <v>69</v>
      </c>
      <c r="B494" s="18">
        <v>1960</v>
      </c>
      <c r="C494" s="18" t="s">
        <v>1289</v>
      </c>
      <c r="D494" s="18" t="s">
        <v>1314</v>
      </c>
      <c r="E494" s="18" t="s">
        <v>1315</v>
      </c>
      <c r="F494" s="18" t="s">
        <v>145</v>
      </c>
      <c r="G494" s="18" t="s">
        <v>1316</v>
      </c>
      <c r="H494" s="18">
        <v>282</v>
      </c>
      <c r="I494" s="18" t="s">
        <v>238</v>
      </c>
      <c r="J494" s="18"/>
      <c r="K494" s="18"/>
      <c r="L494" s="18"/>
      <c r="M494" s="18"/>
      <c r="N494" s="18"/>
      <c r="O494" s="18" t="s">
        <v>163</v>
      </c>
      <c r="P494" s="18"/>
      <c r="Q494" s="18" t="str">
        <f>IFERROR(MATCH(K494,Niveles!$B$2:$B$10,0),"")</f>
        <v/>
      </c>
    </row>
    <row r="495" spans="1:17" x14ac:dyDescent="0.25">
      <c r="A495" s="18" t="s">
        <v>69</v>
      </c>
      <c r="B495" s="18">
        <v>1960</v>
      </c>
      <c r="C495" s="18" t="s">
        <v>1289</v>
      </c>
      <c r="D495" s="18" t="s">
        <v>1317</v>
      </c>
      <c r="E495" s="18" t="s">
        <v>1318</v>
      </c>
      <c r="F495" s="18" t="s">
        <v>145</v>
      </c>
      <c r="G495" s="18" t="s">
        <v>550</v>
      </c>
      <c r="H495" s="18">
        <v>309</v>
      </c>
      <c r="I495" s="18" t="s">
        <v>238</v>
      </c>
      <c r="J495" s="18"/>
      <c r="K495" s="18"/>
      <c r="L495" s="18"/>
      <c r="M495" s="18"/>
      <c r="N495" s="18"/>
      <c r="O495" s="18" t="s">
        <v>163</v>
      </c>
      <c r="P495" s="18"/>
      <c r="Q495" s="18" t="str">
        <f>IFERROR(MATCH(K495,Niveles!$B$2:$B$10,0),"")</f>
        <v/>
      </c>
    </row>
    <row r="496" spans="1:17" x14ac:dyDescent="0.25">
      <c r="A496" s="18" t="s">
        <v>69</v>
      </c>
      <c r="B496" s="18">
        <v>1960</v>
      </c>
      <c r="C496" s="18" t="s">
        <v>1289</v>
      </c>
      <c r="D496" s="18" t="s">
        <v>1319</v>
      </c>
      <c r="E496" s="18" t="s">
        <v>1320</v>
      </c>
      <c r="F496" s="18" t="s">
        <v>145</v>
      </c>
      <c r="G496" s="18" t="s">
        <v>1321</v>
      </c>
      <c r="H496" s="18">
        <v>310</v>
      </c>
      <c r="I496" s="18" t="s">
        <v>238</v>
      </c>
      <c r="J496" s="18"/>
      <c r="K496" s="18"/>
      <c r="L496" s="18"/>
      <c r="M496" s="18"/>
      <c r="N496" s="18"/>
      <c r="O496" s="18" t="s">
        <v>163</v>
      </c>
      <c r="P496" s="18"/>
      <c r="Q496" s="18" t="str">
        <f>IFERROR(MATCH(K496,Niveles!$B$2:$B$10,0),"")</f>
        <v/>
      </c>
    </row>
    <row r="497" spans="1:17" x14ac:dyDescent="0.25">
      <c r="A497" s="18" t="s">
        <v>69</v>
      </c>
      <c r="B497" s="18">
        <v>1960</v>
      </c>
      <c r="C497" s="18" t="s">
        <v>1289</v>
      </c>
      <c r="D497" s="18" t="s">
        <v>1322</v>
      </c>
      <c r="E497" s="18" t="s">
        <v>1323</v>
      </c>
      <c r="F497" s="18" t="s">
        <v>145</v>
      </c>
      <c r="G497" s="18" t="s">
        <v>1324</v>
      </c>
      <c r="H497" s="18">
        <v>315</v>
      </c>
      <c r="I497" s="18" t="s">
        <v>238</v>
      </c>
      <c r="J497" s="18"/>
      <c r="K497" s="18"/>
      <c r="L497" s="18"/>
      <c r="M497" s="18"/>
      <c r="N497" s="18"/>
      <c r="O497" s="18" t="s">
        <v>163</v>
      </c>
      <c r="P497" s="18"/>
      <c r="Q497" s="18" t="str">
        <f>IFERROR(MATCH(K497,Niveles!$B$2:$B$10,0),"")</f>
        <v/>
      </c>
    </row>
    <row r="498" spans="1:17" x14ac:dyDescent="0.25">
      <c r="A498" s="18" t="s">
        <v>69</v>
      </c>
      <c r="B498" s="18">
        <v>1960</v>
      </c>
      <c r="C498" s="18" t="s">
        <v>1289</v>
      </c>
      <c r="D498" s="18" t="s">
        <v>1325</v>
      </c>
      <c r="E498" s="18" t="s">
        <v>1326</v>
      </c>
      <c r="F498" s="18" t="s">
        <v>145</v>
      </c>
      <c r="G498" s="18" t="s">
        <v>1327</v>
      </c>
      <c r="H498" s="18">
        <v>320</v>
      </c>
      <c r="I498" s="18" t="s">
        <v>238</v>
      </c>
      <c r="J498" s="18"/>
      <c r="K498" s="18"/>
      <c r="L498" s="18"/>
      <c r="M498" s="18"/>
      <c r="N498" s="18"/>
      <c r="O498" s="18" t="s">
        <v>163</v>
      </c>
      <c r="P498" s="18"/>
      <c r="Q498" s="18" t="str">
        <f>IFERROR(MATCH(K498,Niveles!$B$2:$B$10,0),"")</f>
        <v/>
      </c>
    </row>
    <row r="499" spans="1:17" x14ac:dyDescent="0.25">
      <c r="A499" s="18" t="s">
        <v>69</v>
      </c>
      <c r="B499" s="18">
        <v>1960</v>
      </c>
      <c r="C499" s="18" t="s">
        <v>1289</v>
      </c>
      <c r="D499" s="18" t="s">
        <v>1328</v>
      </c>
      <c r="E499" s="18" t="s">
        <v>1329</v>
      </c>
      <c r="F499" s="18" t="s">
        <v>145</v>
      </c>
      <c r="G499" s="18" t="s">
        <v>1330</v>
      </c>
      <c r="H499" s="18">
        <v>325</v>
      </c>
      <c r="I499" s="18" t="s">
        <v>238</v>
      </c>
      <c r="J499" s="18"/>
      <c r="K499" s="18"/>
      <c r="L499" s="18"/>
      <c r="M499" s="18"/>
      <c r="N499" s="18"/>
      <c r="O499" s="18" t="s">
        <v>163</v>
      </c>
      <c r="P499" s="18"/>
      <c r="Q499" s="18" t="str">
        <f>IFERROR(MATCH(K499,Niveles!$B$2:$B$10,0),"")</f>
        <v/>
      </c>
    </row>
    <row r="500" spans="1:17" x14ac:dyDescent="0.25">
      <c r="A500" s="18" t="s">
        <v>69</v>
      </c>
      <c r="B500" s="18">
        <v>1960</v>
      </c>
      <c r="C500" s="18" t="s">
        <v>1289</v>
      </c>
      <c r="D500" s="18" t="s">
        <v>1331</v>
      </c>
      <c r="E500" s="18" t="s">
        <v>1332</v>
      </c>
      <c r="F500" s="18" t="s">
        <v>145</v>
      </c>
      <c r="G500" s="18" t="s">
        <v>1333</v>
      </c>
      <c r="H500" s="18">
        <v>328</v>
      </c>
      <c r="I500" s="18" t="s">
        <v>238</v>
      </c>
      <c r="J500" s="18"/>
      <c r="K500" s="18"/>
      <c r="L500" s="18"/>
      <c r="M500" s="18"/>
      <c r="N500" s="18"/>
      <c r="O500" s="18" t="s">
        <v>163</v>
      </c>
      <c r="P500" s="18"/>
      <c r="Q500" s="18" t="str">
        <f>IFERROR(MATCH(K500,Niveles!$B$2:$B$10,0),"")</f>
        <v/>
      </c>
    </row>
    <row r="501" spans="1:17" x14ac:dyDescent="0.25">
      <c r="A501" s="18" t="s">
        <v>69</v>
      </c>
      <c r="B501" s="18">
        <v>1960</v>
      </c>
      <c r="C501" s="18" t="s">
        <v>1289</v>
      </c>
      <c r="D501" s="18" t="s">
        <v>1334</v>
      </c>
      <c r="E501" s="18" t="s">
        <v>1335</v>
      </c>
      <c r="F501" s="18" t="s">
        <v>145</v>
      </c>
      <c r="G501" s="18" t="s">
        <v>1336</v>
      </c>
      <c r="H501" s="18">
        <v>331</v>
      </c>
      <c r="I501" s="18" t="s">
        <v>238</v>
      </c>
      <c r="J501" s="18"/>
      <c r="K501" s="18"/>
      <c r="L501" s="18"/>
      <c r="M501" s="18"/>
      <c r="N501" s="18"/>
      <c r="O501" s="18" t="s">
        <v>163</v>
      </c>
      <c r="P501" s="18"/>
      <c r="Q501" s="18" t="str">
        <f>IFERROR(MATCH(K501,Niveles!$B$2:$B$10,0),"")</f>
        <v/>
      </c>
    </row>
    <row r="502" spans="1:17" x14ac:dyDescent="0.25">
      <c r="A502" s="18" t="s">
        <v>69</v>
      </c>
      <c r="B502" s="18">
        <v>1960</v>
      </c>
      <c r="C502" s="18" t="s">
        <v>1337</v>
      </c>
      <c r="D502" s="18" t="s">
        <v>1338</v>
      </c>
      <c r="E502" s="18" t="s">
        <v>1339</v>
      </c>
      <c r="F502" s="18" t="s">
        <v>145</v>
      </c>
      <c r="G502" s="18" t="s">
        <v>1340</v>
      </c>
      <c r="H502" s="18">
        <v>334</v>
      </c>
      <c r="I502" s="18" t="s">
        <v>238</v>
      </c>
      <c r="J502" s="18"/>
      <c r="K502" s="18"/>
      <c r="L502" s="18"/>
      <c r="M502" s="18"/>
      <c r="N502" s="18"/>
      <c r="O502" s="18" t="s">
        <v>163</v>
      </c>
      <c r="P502" s="18"/>
      <c r="Q502" s="18" t="str">
        <f>IFERROR(MATCH(K502,Niveles!$B$2:$B$10,0),"")</f>
        <v/>
      </c>
    </row>
    <row r="503" spans="1:17" x14ac:dyDescent="0.25">
      <c r="A503" s="18" t="s">
        <v>69</v>
      </c>
      <c r="B503" s="18">
        <v>1960</v>
      </c>
      <c r="C503" s="18" t="s">
        <v>1337</v>
      </c>
      <c r="D503" s="18" t="s">
        <v>1341</v>
      </c>
      <c r="E503" s="18" t="s">
        <v>1342</v>
      </c>
      <c r="F503" s="18" t="s">
        <v>145</v>
      </c>
      <c r="G503" s="18" t="s">
        <v>1343</v>
      </c>
      <c r="H503" s="18">
        <v>337</v>
      </c>
      <c r="I503" s="18" t="s">
        <v>238</v>
      </c>
      <c r="J503" s="18"/>
      <c r="K503" s="18"/>
      <c r="L503" s="18"/>
      <c r="M503" s="18"/>
      <c r="N503" s="18"/>
      <c r="O503" s="18" t="s">
        <v>163</v>
      </c>
      <c r="P503" s="18"/>
      <c r="Q503" s="18" t="str">
        <f>IFERROR(MATCH(K503,Niveles!$B$2:$B$10,0),"")</f>
        <v/>
      </c>
    </row>
    <row r="504" spans="1:17" x14ac:dyDescent="0.25">
      <c r="A504" s="18" t="s">
        <v>69</v>
      </c>
      <c r="B504" s="18">
        <v>1960</v>
      </c>
      <c r="C504" s="18" t="s">
        <v>1337</v>
      </c>
      <c r="D504" s="18" t="s">
        <v>1344</v>
      </c>
      <c r="E504" s="18" t="s">
        <v>1345</v>
      </c>
      <c r="F504" s="18" t="s">
        <v>145</v>
      </c>
      <c r="G504" s="18" t="s">
        <v>1346</v>
      </c>
      <c r="H504" s="18">
        <v>338</v>
      </c>
      <c r="I504" s="18" t="s">
        <v>238</v>
      </c>
      <c r="J504" s="18"/>
      <c r="K504" s="18"/>
      <c r="L504" s="18"/>
      <c r="M504" s="18"/>
      <c r="N504" s="18"/>
      <c r="O504" s="18" t="s">
        <v>163</v>
      </c>
      <c r="P504" s="18"/>
      <c r="Q504" s="18" t="str">
        <f>IFERROR(MATCH(K504,Niveles!$B$2:$B$10,0),"")</f>
        <v/>
      </c>
    </row>
    <row r="505" spans="1:17" x14ac:dyDescent="0.25">
      <c r="A505" s="18" t="s">
        <v>69</v>
      </c>
      <c r="B505" s="18">
        <v>1960</v>
      </c>
      <c r="C505" s="18" t="s">
        <v>1337</v>
      </c>
      <c r="D505" s="18" t="s">
        <v>1347</v>
      </c>
      <c r="E505" s="18" t="s">
        <v>1348</v>
      </c>
      <c r="F505" s="18" t="s">
        <v>145</v>
      </c>
      <c r="G505" s="18" t="s">
        <v>1349</v>
      </c>
      <c r="H505" s="18">
        <v>341</v>
      </c>
      <c r="I505" s="18" t="s">
        <v>238</v>
      </c>
      <c r="J505" s="18"/>
      <c r="K505" s="18"/>
      <c r="L505" s="18"/>
      <c r="M505" s="18"/>
      <c r="N505" s="18"/>
      <c r="O505" s="18" t="s">
        <v>163</v>
      </c>
      <c r="P505" s="18"/>
      <c r="Q505" s="18" t="str">
        <f>IFERROR(MATCH(K505,Niveles!$B$2:$B$10,0),"")</f>
        <v/>
      </c>
    </row>
    <row r="506" spans="1:17" x14ac:dyDescent="0.25">
      <c r="A506" s="18" t="s">
        <v>69</v>
      </c>
      <c r="B506" s="18">
        <v>1960</v>
      </c>
      <c r="C506" s="18" t="s">
        <v>1337</v>
      </c>
      <c r="D506" s="18" t="s">
        <v>1350</v>
      </c>
      <c r="E506" s="18" t="s">
        <v>1351</v>
      </c>
      <c r="F506" s="18" t="s">
        <v>145</v>
      </c>
      <c r="G506" s="18" t="s">
        <v>1352</v>
      </c>
      <c r="H506" s="18">
        <v>347</v>
      </c>
      <c r="I506" s="18" t="s">
        <v>238</v>
      </c>
      <c r="J506" s="18"/>
      <c r="K506" s="18"/>
      <c r="L506" s="18"/>
      <c r="M506" s="18"/>
      <c r="N506" s="18"/>
      <c r="O506" s="18" t="s">
        <v>163</v>
      </c>
      <c r="P506" s="18"/>
      <c r="Q506" s="18" t="str">
        <f>IFERROR(MATCH(K506,Niveles!$B$2:$B$10,0),"")</f>
        <v/>
      </c>
    </row>
    <row r="507" spans="1:17" x14ac:dyDescent="0.25">
      <c r="A507" s="18" t="s">
        <v>69</v>
      </c>
      <c r="B507" s="18">
        <v>1960</v>
      </c>
      <c r="C507" s="18" t="s">
        <v>1337</v>
      </c>
      <c r="D507" s="18" t="s">
        <v>1353</v>
      </c>
      <c r="E507" s="18" t="s">
        <v>1354</v>
      </c>
      <c r="F507" s="18" t="s">
        <v>145</v>
      </c>
      <c r="G507" s="18" t="s">
        <v>1355</v>
      </c>
      <c r="H507" s="18">
        <v>351</v>
      </c>
      <c r="I507" s="18" t="s">
        <v>238</v>
      </c>
      <c r="J507" s="18"/>
      <c r="K507" s="18"/>
      <c r="L507" s="18"/>
      <c r="M507" s="18"/>
      <c r="N507" s="18"/>
      <c r="O507" s="18" t="s">
        <v>163</v>
      </c>
      <c r="P507" s="18"/>
      <c r="Q507" s="18" t="str">
        <f>IFERROR(MATCH(K507,Niveles!$B$2:$B$10,0),"")</f>
        <v/>
      </c>
    </row>
    <row r="508" spans="1:17" x14ac:dyDescent="0.25">
      <c r="A508" s="18" t="s">
        <v>69</v>
      </c>
      <c r="B508" s="18">
        <v>1960</v>
      </c>
      <c r="C508" s="18" t="s">
        <v>1337</v>
      </c>
      <c r="D508" s="18" t="s">
        <v>1356</v>
      </c>
      <c r="E508" s="18" t="s">
        <v>1357</v>
      </c>
      <c r="F508" s="18" t="s">
        <v>145</v>
      </c>
      <c r="G508" s="18" t="s">
        <v>1358</v>
      </c>
      <c r="H508" s="18">
        <v>355</v>
      </c>
      <c r="I508" s="18" t="s">
        <v>238</v>
      </c>
      <c r="J508" s="18"/>
      <c r="K508" s="18"/>
      <c r="L508" s="18"/>
      <c r="M508" s="18"/>
      <c r="N508" s="18"/>
      <c r="O508" s="18" t="s">
        <v>163</v>
      </c>
      <c r="P508" s="18"/>
      <c r="Q508" s="18" t="str">
        <f>IFERROR(MATCH(K508,Niveles!$B$2:$B$10,0),"")</f>
        <v/>
      </c>
    </row>
    <row r="509" spans="1:17" x14ac:dyDescent="0.25">
      <c r="A509" s="18" t="s">
        <v>69</v>
      </c>
      <c r="B509" s="18">
        <v>1960</v>
      </c>
      <c r="C509" s="18" t="s">
        <v>1337</v>
      </c>
      <c r="D509" s="18" t="s">
        <v>1359</v>
      </c>
      <c r="E509" s="18" t="s">
        <v>1360</v>
      </c>
      <c r="F509" s="18" t="s">
        <v>145</v>
      </c>
      <c r="G509" s="18" t="s">
        <v>362</v>
      </c>
      <c r="H509" s="18">
        <v>385</v>
      </c>
      <c r="I509" s="18" t="s">
        <v>238</v>
      </c>
      <c r="J509" s="18"/>
      <c r="K509" s="18"/>
      <c r="L509" s="18"/>
      <c r="M509" s="18"/>
      <c r="N509" s="18"/>
      <c r="O509" s="18" t="s">
        <v>163</v>
      </c>
      <c r="P509" s="18"/>
      <c r="Q509" s="18" t="str">
        <f>IFERROR(MATCH(K509,Niveles!$B$2:$B$10,0),"")</f>
        <v/>
      </c>
    </row>
    <row r="510" spans="1:17" x14ac:dyDescent="0.25">
      <c r="A510" s="18" t="s">
        <v>69</v>
      </c>
      <c r="B510" s="18">
        <v>1960</v>
      </c>
      <c r="C510" s="18" t="s">
        <v>1337</v>
      </c>
      <c r="D510" s="18" t="s">
        <v>1361</v>
      </c>
      <c r="E510" s="18" t="s">
        <v>1362</v>
      </c>
      <c r="F510" s="18" t="s">
        <v>145</v>
      </c>
      <c r="G510" s="18" t="s">
        <v>368</v>
      </c>
      <c r="H510" s="18">
        <v>396</v>
      </c>
      <c r="I510" s="18" t="s">
        <v>238</v>
      </c>
      <c r="J510" s="18"/>
      <c r="K510" s="18"/>
      <c r="L510" s="18"/>
      <c r="M510" s="18"/>
      <c r="N510" s="18"/>
      <c r="O510" s="18" t="s">
        <v>163</v>
      </c>
      <c r="P510" s="18"/>
      <c r="Q510" s="18" t="str">
        <f>IFERROR(MATCH(K510,Niveles!$B$2:$B$10,0),"")</f>
        <v/>
      </c>
    </row>
    <row r="511" spans="1:17" x14ac:dyDescent="0.25">
      <c r="A511" s="18" t="s">
        <v>69</v>
      </c>
      <c r="B511" s="18">
        <v>1960</v>
      </c>
      <c r="C511" s="18" t="s">
        <v>1337</v>
      </c>
      <c r="D511" s="18" t="s">
        <v>1363</v>
      </c>
      <c r="E511" s="18" t="s">
        <v>1364</v>
      </c>
      <c r="F511" s="18" t="s">
        <v>145</v>
      </c>
      <c r="G511" s="18" t="s">
        <v>1365</v>
      </c>
      <c r="H511" s="18">
        <v>404</v>
      </c>
      <c r="I511" s="18" t="s">
        <v>238</v>
      </c>
      <c r="J511" s="18"/>
      <c r="K511" s="18"/>
      <c r="L511" s="18"/>
      <c r="M511" s="18"/>
      <c r="N511" s="18"/>
      <c r="O511" s="18" t="s">
        <v>163</v>
      </c>
      <c r="P511" s="18"/>
      <c r="Q511" s="18" t="str">
        <f>IFERROR(MATCH(K511,Niveles!$B$2:$B$10,0),"")</f>
        <v/>
      </c>
    </row>
    <row r="512" spans="1:17" x14ac:dyDescent="0.25">
      <c r="A512" s="18" t="s">
        <v>69</v>
      </c>
      <c r="B512" s="18">
        <v>1960</v>
      </c>
      <c r="C512" s="18" t="s">
        <v>1337</v>
      </c>
      <c r="D512" s="18" t="s">
        <v>1366</v>
      </c>
      <c r="E512" s="18" t="s">
        <v>1367</v>
      </c>
      <c r="F512" s="18" t="s">
        <v>145</v>
      </c>
      <c r="G512" s="18" t="s">
        <v>373</v>
      </c>
      <c r="H512" s="18">
        <v>406</v>
      </c>
      <c r="I512" s="18" t="s">
        <v>238</v>
      </c>
      <c r="J512" s="18"/>
      <c r="K512" s="18"/>
      <c r="L512" s="18"/>
      <c r="M512" s="18"/>
      <c r="N512" s="18"/>
      <c r="O512" s="18" t="s">
        <v>163</v>
      </c>
      <c r="P512" s="18"/>
      <c r="Q512" s="18" t="str">
        <f>IFERROR(MATCH(K512,Niveles!$B$2:$B$10,0),"")</f>
        <v/>
      </c>
    </row>
    <row r="513" spans="1:17" x14ac:dyDescent="0.25">
      <c r="A513" s="18" t="s">
        <v>69</v>
      </c>
      <c r="B513" s="18">
        <v>1960</v>
      </c>
      <c r="C513" s="18" t="s">
        <v>1337</v>
      </c>
      <c r="D513" s="18" t="s">
        <v>1368</v>
      </c>
      <c r="E513" s="18" t="s">
        <v>1369</v>
      </c>
      <c r="F513" s="18" t="s">
        <v>145</v>
      </c>
      <c r="G513" s="18" t="s">
        <v>1370</v>
      </c>
      <c r="H513" s="18">
        <v>418</v>
      </c>
      <c r="I513" s="18" t="s">
        <v>238</v>
      </c>
      <c r="J513" s="18"/>
      <c r="K513" s="18"/>
      <c r="L513" s="18"/>
      <c r="M513" s="18"/>
      <c r="N513" s="18"/>
      <c r="O513" s="18" t="s">
        <v>163</v>
      </c>
      <c r="P513" s="18"/>
      <c r="Q513" s="18" t="str">
        <f>IFERROR(MATCH(K513,Niveles!$B$2:$B$10,0),"")</f>
        <v/>
      </c>
    </row>
    <row r="514" spans="1:17" x14ac:dyDescent="0.25">
      <c r="A514" s="18" t="s">
        <v>69</v>
      </c>
      <c r="B514" s="18">
        <v>1960</v>
      </c>
      <c r="C514" s="18" t="s">
        <v>1337</v>
      </c>
      <c r="D514" s="18" t="s">
        <v>1371</v>
      </c>
      <c r="E514" s="18" t="s">
        <v>1372</v>
      </c>
      <c r="F514" s="18" t="s">
        <v>145</v>
      </c>
      <c r="G514" s="18" t="s">
        <v>1373</v>
      </c>
      <c r="H514" s="18">
        <v>423</v>
      </c>
      <c r="I514" s="18" t="s">
        <v>238</v>
      </c>
      <c r="J514" s="18"/>
      <c r="K514" s="18"/>
      <c r="L514" s="18"/>
      <c r="M514" s="18"/>
      <c r="N514" s="18"/>
      <c r="O514" s="18" t="s">
        <v>163</v>
      </c>
      <c r="P514" s="18"/>
      <c r="Q514" s="18" t="str">
        <f>IFERROR(MATCH(K514,Niveles!$B$2:$B$10,0),"")</f>
        <v/>
      </c>
    </row>
    <row r="515" spans="1:17" x14ac:dyDescent="0.25">
      <c r="A515" s="18" t="s">
        <v>69</v>
      </c>
      <c r="B515" s="18">
        <v>1960</v>
      </c>
      <c r="C515" s="18" t="s">
        <v>1337</v>
      </c>
      <c r="D515" s="18" t="s">
        <v>1374</v>
      </c>
      <c r="E515" s="18" t="s">
        <v>1375</v>
      </c>
      <c r="F515" s="18" t="s">
        <v>145</v>
      </c>
      <c r="G515" s="18" t="s">
        <v>1376</v>
      </c>
      <c r="H515" s="18">
        <v>427</v>
      </c>
      <c r="I515" s="18" t="s">
        <v>238</v>
      </c>
      <c r="J515" s="18"/>
      <c r="K515" s="18"/>
      <c r="L515" s="18"/>
      <c r="M515" s="18"/>
      <c r="N515" s="18"/>
      <c r="O515" s="18" t="s">
        <v>163</v>
      </c>
      <c r="P515" s="18"/>
      <c r="Q515" s="18" t="str">
        <f>IFERROR(MATCH(K515,Niveles!$B$2:$B$10,0),"")</f>
        <v/>
      </c>
    </row>
    <row r="516" spans="1:17" x14ac:dyDescent="0.25">
      <c r="A516" s="18" t="s">
        <v>69</v>
      </c>
      <c r="B516" s="18">
        <v>1960</v>
      </c>
      <c r="C516" s="18" t="s">
        <v>1337</v>
      </c>
      <c r="D516" s="18" t="s">
        <v>1377</v>
      </c>
      <c r="E516" s="18" t="s">
        <v>1378</v>
      </c>
      <c r="F516" s="18" t="s">
        <v>145</v>
      </c>
      <c r="G516" s="18" t="s">
        <v>629</v>
      </c>
      <c r="H516" s="18">
        <v>431</v>
      </c>
      <c r="I516" s="18" t="s">
        <v>238</v>
      </c>
      <c r="J516" s="18"/>
      <c r="K516" s="18"/>
      <c r="L516" s="18"/>
      <c r="M516" s="18"/>
      <c r="N516" s="18"/>
      <c r="O516" s="18" t="s">
        <v>163</v>
      </c>
      <c r="P516" s="18"/>
      <c r="Q516" s="18" t="str">
        <f>IFERROR(MATCH(K516,Niveles!$B$2:$B$10,0),"")</f>
        <v/>
      </c>
    </row>
    <row r="517" spans="1:17" x14ac:dyDescent="0.25">
      <c r="A517" s="18" t="s">
        <v>69</v>
      </c>
      <c r="B517" s="18">
        <v>1960</v>
      </c>
      <c r="C517" s="18" t="s">
        <v>1337</v>
      </c>
      <c r="D517" s="18" t="s">
        <v>1379</v>
      </c>
      <c r="E517" s="18" t="s">
        <v>1380</v>
      </c>
      <c r="F517" s="18" t="s">
        <v>145</v>
      </c>
      <c r="G517" s="18" t="s">
        <v>1381</v>
      </c>
      <c r="H517" s="18">
        <v>435</v>
      </c>
      <c r="I517" s="18" t="s">
        <v>238</v>
      </c>
      <c r="J517" s="18"/>
      <c r="K517" s="18"/>
      <c r="L517" s="18"/>
      <c r="M517" s="18"/>
      <c r="N517" s="18"/>
      <c r="O517" s="18" t="s">
        <v>163</v>
      </c>
      <c r="P517" s="18"/>
      <c r="Q517" s="18" t="str">
        <f>IFERROR(MATCH(K517,Niveles!$B$2:$B$10,0),"")</f>
        <v/>
      </c>
    </row>
    <row r="518" spans="1:17" x14ac:dyDescent="0.25">
      <c r="A518" s="18" t="s">
        <v>69</v>
      </c>
      <c r="B518" s="18">
        <v>1960</v>
      </c>
      <c r="C518" s="18" t="s">
        <v>1337</v>
      </c>
      <c r="D518" s="18" t="s">
        <v>1382</v>
      </c>
      <c r="E518" s="18" t="s">
        <v>1383</v>
      </c>
      <c r="F518" s="18" t="s">
        <v>145</v>
      </c>
      <c r="G518" s="18" t="s">
        <v>1384</v>
      </c>
      <c r="H518" s="18">
        <v>442</v>
      </c>
      <c r="I518" s="18" t="s">
        <v>238</v>
      </c>
      <c r="J518" s="18"/>
      <c r="K518" s="18"/>
      <c r="L518" s="18"/>
      <c r="M518" s="18"/>
      <c r="N518" s="18"/>
      <c r="O518" s="18" t="s">
        <v>163</v>
      </c>
      <c r="P518" s="18"/>
      <c r="Q518" s="18" t="str">
        <f>IFERROR(MATCH(K518,Niveles!$B$2:$B$10,0),"")</f>
        <v/>
      </c>
    </row>
    <row r="519" spans="1:17" x14ac:dyDescent="0.25">
      <c r="A519" s="18" t="s">
        <v>69</v>
      </c>
      <c r="B519" s="18">
        <v>1960</v>
      </c>
      <c r="C519" s="18" t="s">
        <v>1337</v>
      </c>
      <c r="D519" s="18" t="s">
        <v>1385</v>
      </c>
      <c r="E519" s="18" t="s">
        <v>1386</v>
      </c>
      <c r="F519" s="18" t="s">
        <v>145</v>
      </c>
      <c r="G519" s="18" t="s">
        <v>1387</v>
      </c>
      <c r="H519" s="18">
        <v>444</v>
      </c>
      <c r="I519" s="18" t="s">
        <v>238</v>
      </c>
      <c r="J519" s="18"/>
      <c r="K519" s="18"/>
      <c r="L519" s="18"/>
      <c r="M519" s="18"/>
      <c r="N519" s="18"/>
      <c r="O519" s="18" t="s">
        <v>163</v>
      </c>
      <c r="P519" s="18"/>
      <c r="Q519" s="18" t="str">
        <f>IFERROR(MATCH(K519,Niveles!$B$2:$B$10,0),"")</f>
        <v/>
      </c>
    </row>
    <row r="520" spans="1:17" x14ac:dyDescent="0.25">
      <c r="A520" s="18" t="s">
        <v>69</v>
      </c>
      <c r="B520" s="18">
        <v>1960</v>
      </c>
      <c r="C520" s="18" t="s">
        <v>1337</v>
      </c>
      <c r="D520" s="18" t="s">
        <v>1388</v>
      </c>
      <c r="E520" s="18" t="s">
        <v>1389</v>
      </c>
      <c r="F520" s="18" t="s">
        <v>145</v>
      </c>
      <c r="G520" s="18" t="s">
        <v>1390</v>
      </c>
      <c r="H520" s="18">
        <v>449</v>
      </c>
      <c r="I520" s="18" t="s">
        <v>238</v>
      </c>
      <c r="J520" s="18"/>
      <c r="K520" s="18"/>
      <c r="L520" s="18"/>
      <c r="M520" s="18"/>
      <c r="N520" s="18"/>
      <c r="O520" s="18" t="s">
        <v>163</v>
      </c>
      <c r="P520" s="18"/>
      <c r="Q520" s="18" t="str">
        <f>IFERROR(MATCH(K520,Niveles!$B$2:$B$10,0),"")</f>
        <v/>
      </c>
    </row>
    <row r="521" spans="1:17" x14ac:dyDescent="0.25">
      <c r="A521" s="18" t="s">
        <v>69</v>
      </c>
      <c r="B521" s="18">
        <v>1960</v>
      </c>
      <c r="C521" s="18" t="s">
        <v>1337</v>
      </c>
      <c r="D521" s="18" t="s">
        <v>1391</v>
      </c>
      <c r="E521" s="18" t="s">
        <v>1392</v>
      </c>
      <c r="F521" s="18" t="s">
        <v>145</v>
      </c>
      <c r="G521" s="18" t="s">
        <v>1393</v>
      </c>
      <c r="H521" s="18">
        <v>452</v>
      </c>
      <c r="I521" s="18" t="s">
        <v>238</v>
      </c>
      <c r="J521" s="18"/>
      <c r="K521" s="18"/>
      <c r="L521" s="18"/>
      <c r="M521" s="18"/>
      <c r="N521" s="18"/>
      <c r="O521" s="18" t="s">
        <v>163</v>
      </c>
      <c r="P521" s="18"/>
      <c r="Q521" s="18" t="str">
        <f>IFERROR(MATCH(K521,Niveles!$B$2:$B$10,0),"")</f>
        <v/>
      </c>
    </row>
    <row r="522" spans="1:17" x14ac:dyDescent="0.25">
      <c r="A522" s="18" t="s">
        <v>69</v>
      </c>
      <c r="B522" s="18">
        <v>1960</v>
      </c>
      <c r="C522" s="18" t="s">
        <v>1337</v>
      </c>
      <c r="D522" s="18" t="s">
        <v>1394</v>
      </c>
      <c r="E522" s="18" t="s">
        <v>1395</v>
      </c>
      <c r="F522" s="18" t="s">
        <v>145</v>
      </c>
      <c r="G522" s="18" t="s">
        <v>1396</v>
      </c>
      <c r="H522" s="18">
        <v>455</v>
      </c>
      <c r="I522" s="18" t="s">
        <v>238</v>
      </c>
      <c r="J522" s="18"/>
      <c r="K522" s="18"/>
      <c r="L522" s="18"/>
      <c r="M522" s="18"/>
      <c r="N522" s="18"/>
      <c r="O522" s="18" t="s">
        <v>163</v>
      </c>
      <c r="P522" s="18"/>
      <c r="Q522" s="18" t="str">
        <f>IFERROR(MATCH(K522,Niveles!$B$2:$B$10,0),"")</f>
        <v/>
      </c>
    </row>
    <row r="523" spans="1:17" x14ac:dyDescent="0.25">
      <c r="A523" s="18" t="s">
        <v>69</v>
      </c>
      <c r="B523" s="18">
        <v>1960</v>
      </c>
      <c r="C523" s="18" t="s">
        <v>1337</v>
      </c>
      <c r="D523" s="18" t="s">
        <v>1397</v>
      </c>
      <c r="E523" s="18" t="s">
        <v>1398</v>
      </c>
      <c r="F523" s="18" t="s">
        <v>145</v>
      </c>
      <c r="G523" s="18" t="s">
        <v>1399</v>
      </c>
      <c r="H523" s="18">
        <v>456</v>
      </c>
      <c r="I523" s="18" t="s">
        <v>238</v>
      </c>
      <c r="J523" s="18"/>
      <c r="K523" s="18"/>
      <c r="L523" s="18"/>
      <c r="M523" s="18"/>
      <c r="N523" s="18"/>
      <c r="O523" s="18" t="s">
        <v>163</v>
      </c>
      <c r="P523" s="18"/>
      <c r="Q523" s="18" t="str">
        <f>IFERROR(MATCH(K523,Niveles!$B$2:$B$10,0),"")</f>
        <v/>
      </c>
    </row>
    <row r="524" spans="1:17" x14ac:dyDescent="0.25">
      <c r="A524" s="18" t="s">
        <v>69</v>
      </c>
      <c r="B524" s="18">
        <v>1960</v>
      </c>
      <c r="C524" s="18" t="s">
        <v>1337</v>
      </c>
      <c r="D524" s="18" t="s">
        <v>1400</v>
      </c>
      <c r="E524" s="18" t="s">
        <v>1401</v>
      </c>
      <c r="F524" s="18" t="s">
        <v>145</v>
      </c>
      <c r="G524" s="18" t="s">
        <v>1402</v>
      </c>
      <c r="H524" s="18">
        <v>459</v>
      </c>
      <c r="I524" s="18" t="s">
        <v>238</v>
      </c>
      <c r="J524" s="18"/>
      <c r="K524" s="18"/>
      <c r="L524" s="18"/>
      <c r="M524" s="18"/>
      <c r="N524" s="18"/>
      <c r="O524" s="18" t="s">
        <v>163</v>
      </c>
      <c r="P524" s="18"/>
      <c r="Q524" s="18" t="str">
        <f>IFERROR(MATCH(K524,Niveles!$B$2:$B$10,0),"")</f>
        <v/>
      </c>
    </row>
    <row r="525" spans="1:17" x14ac:dyDescent="0.25">
      <c r="A525" s="18" t="s">
        <v>69</v>
      </c>
      <c r="B525" s="18">
        <v>1960</v>
      </c>
      <c r="C525" s="18" t="s">
        <v>1337</v>
      </c>
      <c r="D525" s="18" t="s">
        <v>1403</v>
      </c>
      <c r="E525" s="18" t="s">
        <v>1404</v>
      </c>
      <c r="F525" s="18" t="s">
        <v>145</v>
      </c>
      <c r="G525" s="18" t="s">
        <v>1405</v>
      </c>
      <c r="H525" s="18">
        <v>461</v>
      </c>
      <c r="I525" s="18" t="s">
        <v>238</v>
      </c>
      <c r="J525" s="18"/>
      <c r="K525" s="18"/>
      <c r="L525" s="18"/>
      <c r="M525" s="18"/>
      <c r="N525" s="18"/>
      <c r="O525" s="18" t="s">
        <v>163</v>
      </c>
      <c r="P525" s="18"/>
      <c r="Q525" s="18" t="str">
        <f>IFERROR(MATCH(K525,Niveles!$B$2:$B$10,0),"")</f>
        <v/>
      </c>
    </row>
    <row r="526" spans="1:17" x14ac:dyDescent="0.25">
      <c r="A526" s="18" t="s">
        <v>69</v>
      </c>
      <c r="B526" s="18">
        <v>1960</v>
      </c>
      <c r="C526" s="18" t="s">
        <v>1406</v>
      </c>
      <c r="D526" s="18" t="s">
        <v>1407</v>
      </c>
      <c r="E526" s="18" t="s">
        <v>1408</v>
      </c>
      <c r="F526" s="18" t="s">
        <v>161</v>
      </c>
      <c r="G526" s="18"/>
      <c r="H526" s="18"/>
      <c r="I526" s="18" t="s">
        <v>284</v>
      </c>
      <c r="J526" s="18"/>
      <c r="K526" s="18"/>
      <c r="L526" s="18"/>
      <c r="M526" s="18"/>
      <c r="N526" s="18"/>
      <c r="O526" s="18" t="s">
        <v>163</v>
      </c>
      <c r="P526" s="18"/>
      <c r="Q526" s="18" t="str">
        <f>IFERROR(MATCH(K526,Niveles!$B$2:$B$10,0),"")</f>
        <v/>
      </c>
    </row>
    <row r="527" spans="1:17" x14ac:dyDescent="0.25">
      <c r="A527" s="18" t="s">
        <v>72</v>
      </c>
      <c r="B527" s="18">
        <v>1970</v>
      </c>
      <c r="C527" s="18"/>
      <c r="D527" s="18" t="s">
        <v>121</v>
      </c>
      <c r="E527" s="18" t="s">
        <v>1409</v>
      </c>
      <c r="F527" s="18" t="s">
        <v>145</v>
      </c>
      <c r="G527" s="18" t="s">
        <v>112</v>
      </c>
      <c r="H527" s="18">
        <v>11</v>
      </c>
      <c r="I527" s="18" t="s">
        <v>162</v>
      </c>
      <c r="J527" s="18" t="s">
        <v>1410</v>
      </c>
      <c r="K527" s="18" t="s">
        <v>108</v>
      </c>
      <c r="L527" s="18" t="s">
        <v>981</v>
      </c>
      <c r="M527" s="18" t="s">
        <v>255</v>
      </c>
      <c r="N527" s="18" t="s">
        <v>162</v>
      </c>
      <c r="O527" s="18" t="s">
        <v>175</v>
      </c>
      <c r="P527" s="18" t="s">
        <v>1411</v>
      </c>
      <c r="Q527" s="18">
        <f>IFERROR(MATCH(K527,Niveles!$B$2:$B$10,0),"")</f>
        <v>9</v>
      </c>
    </row>
    <row r="528" spans="1:17" x14ac:dyDescent="0.25">
      <c r="A528" s="18" t="s">
        <v>72</v>
      </c>
      <c r="B528" s="18">
        <v>1970</v>
      </c>
      <c r="C528" s="18"/>
      <c r="D528" s="18" t="s">
        <v>123</v>
      </c>
      <c r="E528" s="18" t="s">
        <v>1412</v>
      </c>
      <c r="F528" s="18" t="s">
        <v>145</v>
      </c>
      <c r="G528" s="18" t="s">
        <v>113</v>
      </c>
      <c r="H528" s="18">
        <v>15</v>
      </c>
      <c r="I528" s="18" t="s">
        <v>238</v>
      </c>
      <c r="J528" s="18"/>
      <c r="K528" s="18"/>
      <c r="L528" s="18"/>
      <c r="M528" s="18"/>
      <c r="N528" s="18"/>
      <c r="O528" s="18" t="s">
        <v>163</v>
      </c>
      <c r="P528" s="18"/>
      <c r="Q528" s="18" t="str">
        <f>IFERROR(MATCH(K528,Niveles!$B$2:$B$10,0),"")</f>
        <v/>
      </c>
    </row>
    <row r="529" spans="1:17" x14ac:dyDescent="0.25">
      <c r="A529" s="18" t="s">
        <v>72</v>
      </c>
      <c r="B529" s="18">
        <v>1970</v>
      </c>
      <c r="C529" s="18"/>
      <c r="D529" s="18" t="s">
        <v>113</v>
      </c>
      <c r="E529" s="18" t="s">
        <v>1413</v>
      </c>
      <c r="F529" s="18" t="s">
        <v>145</v>
      </c>
      <c r="G529" s="18" t="s">
        <v>878</v>
      </c>
      <c r="H529" s="18">
        <v>21</v>
      </c>
      <c r="I529" s="18" t="s">
        <v>238</v>
      </c>
      <c r="J529" s="18" t="s">
        <v>1410</v>
      </c>
      <c r="K529" s="18" t="s">
        <v>106</v>
      </c>
      <c r="L529" s="18"/>
      <c r="M529" s="18" t="s">
        <v>255</v>
      </c>
      <c r="N529" s="18" t="s">
        <v>162</v>
      </c>
      <c r="O529" s="18" t="s">
        <v>175</v>
      </c>
      <c r="P529" s="18" t="s">
        <v>1414</v>
      </c>
      <c r="Q529" s="18">
        <f>IFERROR(MATCH(K529,Niveles!$B$2:$B$10,0),"")</f>
        <v>7</v>
      </c>
    </row>
    <row r="530" spans="1:17" x14ac:dyDescent="0.25">
      <c r="A530" s="18" t="s">
        <v>72</v>
      </c>
      <c r="B530" s="18">
        <v>1970</v>
      </c>
      <c r="C530" s="18"/>
      <c r="D530" s="18" t="s">
        <v>114</v>
      </c>
      <c r="E530" s="18" t="s">
        <v>1415</v>
      </c>
      <c r="F530" s="18" t="s">
        <v>145</v>
      </c>
      <c r="G530" s="18" t="s">
        <v>880</v>
      </c>
      <c r="H530" s="18">
        <v>22</v>
      </c>
      <c r="I530" s="18" t="s">
        <v>238</v>
      </c>
      <c r="J530" s="18"/>
      <c r="K530" s="18"/>
      <c r="L530" s="18"/>
      <c r="M530" s="18"/>
      <c r="N530" s="18"/>
      <c r="O530" s="18" t="s">
        <v>163</v>
      </c>
      <c r="P530" s="18"/>
      <c r="Q530" s="18" t="str">
        <f>IFERROR(MATCH(K530,Niveles!$B$2:$B$10,0),"")</f>
        <v/>
      </c>
    </row>
    <row r="531" spans="1:17" x14ac:dyDescent="0.25">
      <c r="A531" s="18" t="s">
        <v>72</v>
      </c>
      <c r="B531" s="18">
        <v>1970</v>
      </c>
      <c r="C531" s="18"/>
      <c r="D531" s="18" t="s">
        <v>772</v>
      </c>
      <c r="E531" s="18" t="s">
        <v>1416</v>
      </c>
      <c r="F531" s="18" t="s">
        <v>145</v>
      </c>
      <c r="G531" s="18" t="s">
        <v>383</v>
      </c>
      <c r="H531" s="18">
        <v>23</v>
      </c>
      <c r="I531" s="18" t="s">
        <v>238</v>
      </c>
      <c r="J531" s="18"/>
      <c r="K531" s="18"/>
      <c r="L531" s="18"/>
      <c r="M531" s="18"/>
      <c r="N531" s="18"/>
      <c r="O531" s="18" t="s">
        <v>163</v>
      </c>
      <c r="P531" s="18"/>
      <c r="Q531" s="18" t="str">
        <f>IFERROR(MATCH(K531,Niveles!$B$2:$B$10,0),"")</f>
        <v/>
      </c>
    </row>
    <row r="532" spans="1:17" x14ac:dyDescent="0.25">
      <c r="A532" s="18" t="s">
        <v>72</v>
      </c>
      <c r="B532" s="18">
        <v>1970</v>
      </c>
      <c r="C532" s="18"/>
      <c r="D532" s="18" t="s">
        <v>115</v>
      </c>
      <c r="E532" s="18" t="s">
        <v>1417</v>
      </c>
      <c r="F532" s="18" t="s">
        <v>145</v>
      </c>
      <c r="G532" s="18" t="s">
        <v>1028</v>
      </c>
      <c r="H532" s="18">
        <v>32</v>
      </c>
      <c r="I532" s="18" t="s">
        <v>238</v>
      </c>
      <c r="J532" s="18"/>
      <c r="K532" s="18"/>
      <c r="L532" s="18"/>
      <c r="M532" s="18"/>
      <c r="N532" s="18"/>
      <c r="O532" s="18" t="s">
        <v>163</v>
      </c>
      <c r="P532" s="18"/>
      <c r="Q532" s="18" t="str">
        <f>IFERROR(MATCH(K532,Niveles!$B$2:$B$10,0),"")</f>
        <v/>
      </c>
    </row>
    <row r="533" spans="1:17" x14ac:dyDescent="0.25">
      <c r="A533" s="18" t="s">
        <v>72</v>
      </c>
      <c r="B533" s="18">
        <v>1970</v>
      </c>
      <c r="C533" s="18"/>
      <c r="D533" s="18" t="s">
        <v>122</v>
      </c>
      <c r="E533" s="18" t="s">
        <v>1418</v>
      </c>
      <c r="F533" s="18" t="s">
        <v>145</v>
      </c>
      <c r="G533" s="18" t="s">
        <v>297</v>
      </c>
      <c r="H533" s="18">
        <v>41</v>
      </c>
      <c r="I533" s="18" t="s">
        <v>238</v>
      </c>
      <c r="J533" s="18"/>
      <c r="K533" s="18"/>
      <c r="L533" s="18"/>
      <c r="M533" s="18"/>
      <c r="N533" s="18"/>
      <c r="O533" s="18" t="s">
        <v>163</v>
      </c>
      <c r="P533" s="18"/>
      <c r="Q533" s="18" t="str">
        <f>IFERROR(MATCH(K533,Niveles!$B$2:$B$10,0),"")</f>
        <v/>
      </c>
    </row>
    <row r="534" spans="1:17" x14ac:dyDescent="0.25">
      <c r="A534" s="18" t="s">
        <v>72</v>
      </c>
      <c r="B534" s="18">
        <v>1970</v>
      </c>
      <c r="C534" s="18"/>
      <c r="D534" s="18" t="s">
        <v>878</v>
      </c>
      <c r="E534" s="18" t="s">
        <v>1419</v>
      </c>
      <c r="F534" s="18" t="s">
        <v>145</v>
      </c>
      <c r="G534" s="18" t="s">
        <v>1420</v>
      </c>
      <c r="H534" s="18">
        <v>44</v>
      </c>
      <c r="I534" s="18" t="s">
        <v>238</v>
      </c>
      <c r="J534" s="18"/>
      <c r="K534" s="18"/>
      <c r="L534" s="18"/>
      <c r="M534" s="18"/>
      <c r="N534" s="18"/>
      <c r="O534" s="18" t="s">
        <v>163</v>
      </c>
      <c r="P534" s="18"/>
      <c r="Q534" s="18" t="str">
        <f>IFERROR(MATCH(K534,Niveles!$B$2:$B$10,0),"")</f>
        <v/>
      </c>
    </row>
    <row r="535" spans="1:17" x14ac:dyDescent="0.25">
      <c r="A535" s="18" t="s">
        <v>72</v>
      </c>
      <c r="B535" s="18">
        <v>1970</v>
      </c>
      <c r="C535" s="18"/>
      <c r="D535" s="18" t="s">
        <v>880</v>
      </c>
      <c r="E535" s="18" t="s">
        <v>1421</v>
      </c>
      <c r="F535" s="18" t="s">
        <v>145</v>
      </c>
      <c r="G535" s="18" t="s">
        <v>950</v>
      </c>
      <c r="H535" s="18">
        <v>47</v>
      </c>
      <c r="I535" s="18" t="s">
        <v>238</v>
      </c>
      <c r="J535" s="18"/>
      <c r="K535" s="18"/>
      <c r="L535" s="18"/>
      <c r="M535" s="18"/>
      <c r="N535" s="18"/>
      <c r="O535" s="18" t="s">
        <v>163</v>
      </c>
      <c r="P535" s="18"/>
      <c r="Q535" s="18" t="str">
        <f>IFERROR(MATCH(K535,Niveles!$B$2:$B$10,0),"")</f>
        <v/>
      </c>
    </row>
    <row r="536" spans="1:17" x14ac:dyDescent="0.25">
      <c r="A536" s="18" t="s">
        <v>72</v>
      </c>
      <c r="B536" s="18">
        <v>1970</v>
      </c>
      <c r="C536" s="18"/>
      <c r="D536" s="18" t="s">
        <v>840</v>
      </c>
      <c r="E536" s="18" t="s">
        <v>1422</v>
      </c>
      <c r="F536" s="18" t="s">
        <v>145</v>
      </c>
      <c r="G536" s="18" t="s">
        <v>858</v>
      </c>
      <c r="H536" s="18">
        <v>50</v>
      </c>
      <c r="I536" s="18" t="s">
        <v>238</v>
      </c>
      <c r="J536" s="18"/>
      <c r="K536" s="18"/>
      <c r="L536" s="18"/>
      <c r="M536" s="18"/>
      <c r="N536" s="18"/>
      <c r="O536" s="18" t="s">
        <v>163</v>
      </c>
      <c r="P536" s="18"/>
      <c r="Q536" s="18" t="str">
        <f>IFERROR(MATCH(K536,Niveles!$B$2:$B$10,0),"")</f>
        <v/>
      </c>
    </row>
    <row r="537" spans="1:17" x14ac:dyDescent="0.25">
      <c r="A537" s="18" t="s">
        <v>72</v>
      </c>
      <c r="B537" s="18">
        <v>1970</v>
      </c>
      <c r="C537" s="18"/>
      <c r="D537" s="18" t="s">
        <v>843</v>
      </c>
      <c r="E537" s="18" t="s">
        <v>1423</v>
      </c>
      <c r="F537" s="18" t="s">
        <v>145</v>
      </c>
      <c r="G537" s="18" t="s">
        <v>961</v>
      </c>
      <c r="H537" s="18">
        <v>53</v>
      </c>
      <c r="I537" s="18" t="s">
        <v>238</v>
      </c>
      <c r="J537" s="18"/>
      <c r="K537" s="18"/>
      <c r="L537" s="18"/>
      <c r="M537" s="18"/>
      <c r="N537" s="18"/>
      <c r="O537" s="18" t="s">
        <v>163</v>
      </c>
      <c r="P537" s="18"/>
      <c r="Q537" s="18" t="str">
        <f>IFERROR(MATCH(K537,Niveles!$B$2:$B$10,0),"")</f>
        <v/>
      </c>
    </row>
    <row r="538" spans="1:17" x14ac:dyDescent="0.25">
      <c r="A538" s="18" t="s">
        <v>72</v>
      </c>
      <c r="B538" s="18">
        <v>1970</v>
      </c>
      <c r="C538" s="18"/>
      <c r="D538" s="18" t="s">
        <v>294</v>
      </c>
      <c r="E538" s="18" t="s">
        <v>1424</v>
      </c>
      <c r="F538" s="18" t="s">
        <v>145</v>
      </c>
      <c r="G538" s="18" t="s">
        <v>301</v>
      </c>
      <c r="H538" s="18">
        <v>55</v>
      </c>
      <c r="I538" s="18" t="s">
        <v>238</v>
      </c>
      <c r="J538" s="18"/>
      <c r="K538" s="18"/>
      <c r="L538" s="18"/>
      <c r="M538" s="18"/>
      <c r="N538" s="18"/>
      <c r="O538" s="18" t="s">
        <v>163</v>
      </c>
      <c r="P538" s="18"/>
      <c r="Q538" s="18" t="str">
        <f>IFERROR(MATCH(K538,Niveles!$B$2:$B$10,0),"")</f>
        <v/>
      </c>
    </row>
    <row r="539" spans="1:17" x14ac:dyDescent="0.25">
      <c r="A539" s="18" t="s">
        <v>72</v>
      </c>
      <c r="B539" s="18">
        <v>1970</v>
      </c>
      <c r="C539" s="18"/>
      <c r="D539" s="18" t="s">
        <v>247</v>
      </c>
      <c r="E539" s="18" t="s">
        <v>1425</v>
      </c>
      <c r="F539" s="18" t="s">
        <v>145</v>
      </c>
      <c r="G539" s="18" t="s">
        <v>461</v>
      </c>
      <c r="H539" s="18">
        <v>56</v>
      </c>
      <c r="I539" s="18" t="s">
        <v>238</v>
      </c>
      <c r="J539" s="18"/>
      <c r="K539" s="18"/>
      <c r="L539" s="18"/>
      <c r="M539" s="18"/>
      <c r="N539" s="18"/>
      <c r="O539" s="18" t="s">
        <v>163</v>
      </c>
      <c r="P539" s="18"/>
      <c r="Q539" s="18" t="str">
        <f>IFERROR(MATCH(K539,Niveles!$B$2:$B$10,0),"")</f>
        <v/>
      </c>
    </row>
    <row r="540" spans="1:17" x14ac:dyDescent="0.25">
      <c r="A540" s="18" t="s">
        <v>72</v>
      </c>
      <c r="B540" s="18">
        <v>1970</v>
      </c>
      <c r="C540" s="18"/>
      <c r="D540" s="18" t="s">
        <v>1020</v>
      </c>
      <c r="E540" s="18" t="s">
        <v>1426</v>
      </c>
      <c r="F540" s="18" t="s">
        <v>145</v>
      </c>
      <c r="G540" s="18" t="s">
        <v>1427</v>
      </c>
      <c r="H540" s="18">
        <v>62</v>
      </c>
      <c r="I540" s="18" t="s">
        <v>238</v>
      </c>
      <c r="J540" s="18"/>
      <c r="K540" s="18"/>
      <c r="L540" s="18"/>
      <c r="M540" s="18"/>
      <c r="N540" s="18"/>
      <c r="O540" s="18" t="s">
        <v>163</v>
      </c>
      <c r="P540" s="18"/>
      <c r="Q540" s="18" t="str">
        <f>IFERROR(MATCH(K540,Niveles!$B$2:$B$10,0),"")</f>
        <v/>
      </c>
    </row>
    <row r="541" spans="1:17" x14ac:dyDescent="0.25">
      <c r="A541" s="18" t="s">
        <v>72</v>
      </c>
      <c r="B541" s="18">
        <v>1970</v>
      </c>
      <c r="C541" s="18"/>
      <c r="D541" s="18" t="s">
        <v>1023</v>
      </c>
      <c r="E541" s="18" t="s">
        <v>1428</v>
      </c>
      <c r="F541" s="18" t="s">
        <v>145</v>
      </c>
      <c r="G541" s="18" t="s">
        <v>1429</v>
      </c>
      <c r="H541" s="18">
        <v>68</v>
      </c>
      <c r="I541" s="18" t="s">
        <v>238</v>
      </c>
      <c r="J541" s="18"/>
      <c r="K541" s="18"/>
      <c r="L541" s="18"/>
      <c r="M541" s="18"/>
      <c r="N541" s="18"/>
      <c r="O541" s="18" t="s">
        <v>163</v>
      </c>
      <c r="P541" s="18"/>
      <c r="Q541" s="18" t="str">
        <f>IFERROR(MATCH(K541,Niveles!$B$2:$B$10,0),"")</f>
        <v/>
      </c>
    </row>
    <row r="542" spans="1:17" x14ac:dyDescent="0.25">
      <c r="A542" s="18" t="s">
        <v>72</v>
      </c>
      <c r="B542" s="18">
        <v>1970</v>
      </c>
      <c r="C542" s="18"/>
      <c r="D542" s="18" t="s">
        <v>909</v>
      </c>
      <c r="E542" s="18" t="s">
        <v>1430</v>
      </c>
      <c r="F542" s="18" t="s">
        <v>145</v>
      </c>
      <c r="G542" s="18" t="s">
        <v>1431</v>
      </c>
      <c r="H542" s="18">
        <v>70</v>
      </c>
      <c r="I542" s="18" t="s">
        <v>238</v>
      </c>
      <c r="J542" s="18"/>
      <c r="K542" s="18"/>
      <c r="L542" s="18"/>
      <c r="M542" s="18"/>
      <c r="N542" s="18"/>
      <c r="O542" s="18" t="s">
        <v>163</v>
      </c>
      <c r="P542" s="18"/>
      <c r="Q542" s="18" t="str">
        <f>IFERROR(MATCH(K542,Niveles!$B$2:$B$10,0),"")</f>
        <v/>
      </c>
    </row>
    <row r="543" spans="1:17" x14ac:dyDescent="0.25">
      <c r="A543" s="18" t="s">
        <v>72</v>
      </c>
      <c r="B543" s="18">
        <v>1970</v>
      </c>
      <c r="C543" s="18"/>
      <c r="D543" s="18" t="s">
        <v>1028</v>
      </c>
      <c r="E543" s="18" t="s">
        <v>1432</v>
      </c>
      <c r="F543" s="18" t="s">
        <v>145</v>
      </c>
      <c r="G543" s="18" t="s">
        <v>884</v>
      </c>
      <c r="H543" s="18">
        <v>72</v>
      </c>
      <c r="I543" s="18" t="s">
        <v>238</v>
      </c>
      <c r="J543" s="18"/>
      <c r="K543" s="18"/>
      <c r="L543" s="18"/>
      <c r="M543" s="18"/>
      <c r="N543" s="18"/>
      <c r="O543" s="18" t="s">
        <v>163</v>
      </c>
      <c r="P543" s="18"/>
      <c r="Q543" s="18" t="str">
        <f>IFERROR(MATCH(K543,Niveles!$B$2:$B$10,0),"")</f>
        <v/>
      </c>
    </row>
    <row r="544" spans="1:17" x14ac:dyDescent="0.25">
      <c r="A544" s="18" t="s">
        <v>72</v>
      </c>
      <c r="B544" s="18">
        <v>1970</v>
      </c>
      <c r="C544" s="18"/>
      <c r="D544" s="18" t="s">
        <v>1031</v>
      </c>
      <c r="E544" s="18" t="s">
        <v>1433</v>
      </c>
      <c r="F544" s="18" t="s">
        <v>145</v>
      </c>
      <c r="G544" s="18" t="s">
        <v>387</v>
      </c>
      <c r="H544" s="18">
        <v>75</v>
      </c>
      <c r="I544" s="18" t="s">
        <v>238</v>
      </c>
      <c r="J544" s="18"/>
      <c r="K544" s="18"/>
      <c r="L544" s="18"/>
      <c r="M544" s="18"/>
      <c r="N544" s="18"/>
      <c r="O544" s="18" t="s">
        <v>163</v>
      </c>
      <c r="P544" s="18"/>
      <c r="Q544" s="18" t="str">
        <f>IFERROR(MATCH(K544,Niveles!$B$2:$B$10,0),"")</f>
        <v/>
      </c>
    </row>
    <row r="545" spans="1:17" x14ac:dyDescent="0.25">
      <c r="A545" s="18" t="s">
        <v>72</v>
      </c>
      <c r="B545" s="18">
        <v>1970</v>
      </c>
      <c r="C545" s="18"/>
      <c r="D545" s="18" t="s">
        <v>851</v>
      </c>
      <c r="E545" s="18" t="s">
        <v>1434</v>
      </c>
      <c r="F545" s="18" t="s">
        <v>145</v>
      </c>
      <c r="G545" s="18" t="s">
        <v>1435</v>
      </c>
      <c r="H545" s="18">
        <v>77</v>
      </c>
      <c r="I545" s="18" t="s">
        <v>238</v>
      </c>
      <c r="J545" s="18"/>
      <c r="K545" s="18"/>
      <c r="L545" s="18"/>
      <c r="M545" s="18"/>
      <c r="N545" s="18"/>
      <c r="O545" s="18" t="s">
        <v>163</v>
      </c>
      <c r="P545" s="18"/>
      <c r="Q545" s="18" t="str">
        <f>IFERROR(MATCH(K545,Niveles!$B$2:$B$10,0),"")</f>
        <v/>
      </c>
    </row>
    <row r="546" spans="1:17" x14ac:dyDescent="0.25">
      <c r="A546" s="18" t="s">
        <v>72</v>
      </c>
      <c r="B546" s="18">
        <v>1970</v>
      </c>
      <c r="C546" s="18"/>
      <c r="D546" s="18" t="s">
        <v>1034</v>
      </c>
      <c r="E546" s="18" t="s">
        <v>1436</v>
      </c>
      <c r="F546" s="18" t="s">
        <v>145</v>
      </c>
      <c r="G546" s="18" t="s">
        <v>670</v>
      </c>
      <c r="H546" s="18">
        <v>79</v>
      </c>
      <c r="I546" s="18" t="s">
        <v>238</v>
      </c>
      <c r="J546" s="18"/>
      <c r="K546" s="18"/>
      <c r="L546" s="18"/>
      <c r="M546" s="18"/>
      <c r="N546" s="18"/>
      <c r="O546" s="18" t="s">
        <v>163</v>
      </c>
      <c r="P546" s="18"/>
      <c r="Q546" s="18" t="str">
        <f>IFERROR(MATCH(K546,Niveles!$B$2:$B$10,0),"")</f>
        <v/>
      </c>
    </row>
    <row r="547" spans="1:17" x14ac:dyDescent="0.25">
      <c r="A547" s="18" t="s">
        <v>72</v>
      </c>
      <c r="B547" s="18">
        <v>1970</v>
      </c>
      <c r="C547" s="18"/>
      <c r="D547" s="18" t="s">
        <v>1036</v>
      </c>
      <c r="E547" s="18" t="s">
        <v>1437</v>
      </c>
      <c r="F547" s="18" t="s">
        <v>145</v>
      </c>
      <c r="G547" s="18" t="s">
        <v>1109</v>
      </c>
      <c r="H547" s="18">
        <v>85</v>
      </c>
      <c r="I547" s="18" t="s">
        <v>238</v>
      </c>
      <c r="J547" s="18"/>
      <c r="K547" s="18"/>
      <c r="L547" s="18"/>
      <c r="M547" s="18"/>
      <c r="N547" s="18"/>
      <c r="O547" s="18" t="s">
        <v>163</v>
      </c>
      <c r="P547" s="18"/>
      <c r="Q547" s="18" t="str">
        <f>IFERROR(MATCH(K547,Niveles!$B$2:$B$10,0),"")</f>
        <v/>
      </c>
    </row>
    <row r="548" spans="1:17" x14ac:dyDescent="0.25">
      <c r="A548" s="18" t="s">
        <v>72</v>
      </c>
      <c r="B548" s="18">
        <v>1970</v>
      </c>
      <c r="C548" s="18"/>
      <c r="D548" s="18" t="s">
        <v>738</v>
      </c>
      <c r="E548" s="18" t="s">
        <v>1438</v>
      </c>
      <c r="F548" s="18" t="s">
        <v>145</v>
      </c>
      <c r="G548" s="18" t="s">
        <v>1439</v>
      </c>
      <c r="H548" s="18">
        <v>88</v>
      </c>
      <c r="I548" s="18" t="s">
        <v>238</v>
      </c>
      <c r="J548" s="18"/>
      <c r="K548" s="18"/>
      <c r="L548" s="18"/>
      <c r="M548" s="18"/>
      <c r="N548" s="18"/>
      <c r="O548" s="18" t="s">
        <v>163</v>
      </c>
      <c r="P548" s="18"/>
      <c r="Q548" s="18" t="str">
        <f>IFERROR(MATCH(K548,Niveles!$B$2:$B$10,0),"")</f>
        <v/>
      </c>
    </row>
    <row r="549" spans="1:17" x14ac:dyDescent="0.25">
      <c r="A549" s="18" t="s">
        <v>72</v>
      </c>
      <c r="B549" s="18">
        <v>1970</v>
      </c>
      <c r="C549" s="18"/>
      <c r="D549" s="18" t="s">
        <v>1041</v>
      </c>
      <c r="E549" s="18" t="s">
        <v>1440</v>
      </c>
      <c r="F549" s="18" t="s">
        <v>145</v>
      </c>
      <c r="G549" s="18" t="s">
        <v>1441</v>
      </c>
      <c r="H549" s="18">
        <v>90</v>
      </c>
      <c r="I549" s="18" t="s">
        <v>238</v>
      </c>
      <c r="J549" s="18"/>
      <c r="K549" s="18"/>
      <c r="L549" s="18"/>
      <c r="M549" s="18"/>
      <c r="N549" s="18"/>
      <c r="O549" s="18" t="s">
        <v>163</v>
      </c>
      <c r="P549" s="18"/>
      <c r="Q549" s="18" t="str">
        <f>IFERROR(MATCH(K549,Niveles!$B$2:$B$10,0),"")</f>
        <v/>
      </c>
    </row>
    <row r="550" spans="1:17" x14ac:dyDescent="0.25">
      <c r="A550" s="18" t="s">
        <v>72</v>
      </c>
      <c r="B550" s="18">
        <v>1970</v>
      </c>
      <c r="C550" s="18"/>
      <c r="D550" s="18" t="s">
        <v>1043</v>
      </c>
      <c r="E550" s="18" t="s">
        <v>1442</v>
      </c>
      <c r="F550" s="18" t="s">
        <v>145</v>
      </c>
      <c r="G550" s="18" t="s">
        <v>1443</v>
      </c>
      <c r="H550" s="18">
        <v>96</v>
      </c>
      <c r="I550" s="18" t="s">
        <v>238</v>
      </c>
      <c r="J550" s="18"/>
      <c r="K550" s="18"/>
      <c r="L550" s="18"/>
      <c r="M550" s="18"/>
      <c r="N550" s="18"/>
      <c r="O550" s="18" t="s">
        <v>163</v>
      </c>
      <c r="P550" s="18"/>
      <c r="Q550" s="18" t="str">
        <f>IFERROR(MATCH(K550,Niveles!$B$2:$B$10,0),"")</f>
        <v/>
      </c>
    </row>
    <row r="551" spans="1:17" x14ac:dyDescent="0.25">
      <c r="A551" s="18" t="s">
        <v>72</v>
      </c>
      <c r="B551" s="18">
        <v>1970</v>
      </c>
      <c r="C551" s="18"/>
      <c r="D551" s="18" t="s">
        <v>946</v>
      </c>
      <c r="E551" s="18" t="s">
        <v>1444</v>
      </c>
      <c r="F551" s="18" t="s">
        <v>145</v>
      </c>
      <c r="G551" s="18" t="s">
        <v>308</v>
      </c>
      <c r="H551" s="18">
        <v>99</v>
      </c>
      <c r="I551" s="18" t="s">
        <v>238</v>
      </c>
      <c r="J551" s="18"/>
      <c r="K551" s="18"/>
      <c r="L551" s="18"/>
      <c r="M551" s="18"/>
      <c r="N551" s="18"/>
      <c r="O551" s="18" t="s">
        <v>163</v>
      </c>
      <c r="P551" s="18"/>
      <c r="Q551" s="18" t="str">
        <f>IFERROR(MATCH(K551,Niveles!$B$2:$B$10,0),"")</f>
        <v/>
      </c>
    </row>
    <row r="552" spans="1:17" x14ac:dyDescent="0.25">
      <c r="A552" s="18" t="s">
        <v>72</v>
      </c>
      <c r="B552" s="18">
        <v>1970</v>
      </c>
      <c r="C552" s="18"/>
      <c r="D552" s="18" t="s">
        <v>297</v>
      </c>
      <c r="E552" s="18" t="s">
        <v>1445</v>
      </c>
      <c r="F552" s="18" t="s">
        <v>145</v>
      </c>
      <c r="G552" s="18" t="s">
        <v>1446</v>
      </c>
      <c r="H552" s="18">
        <v>105</v>
      </c>
      <c r="I552" s="18" t="s">
        <v>238</v>
      </c>
      <c r="J552" s="18"/>
      <c r="K552" s="18"/>
      <c r="L552" s="18"/>
      <c r="M552" s="18"/>
      <c r="N552" s="18"/>
      <c r="O552" s="18" t="s">
        <v>163</v>
      </c>
      <c r="P552" s="18"/>
      <c r="Q552" s="18" t="str">
        <f>IFERROR(MATCH(K552,Niveles!$B$2:$B$10,0),"")</f>
        <v/>
      </c>
    </row>
    <row r="553" spans="1:17" x14ac:dyDescent="0.25">
      <c r="A553" s="18" t="s">
        <v>72</v>
      </c>
      <c r="B553" s="18">
        <v>1970</v>
      </c>
      <c r="C553" s="18"/>
      <c r="D553" s="18" t="s">
        <v>1447</v>
      </c>
      <c r="E553" s="18" t="s">
        <v>1448</v>
      </c>
      <c r="F553" s="18" t="s">
        <v>145</v>
      </c>
      <c r="G553" s="18" t="s">
        <v>1449</v>
      </c>
      <c r="H553" s="18">
        <v>111</v>
      </c>
      <c r="I553" s="18" t="s">
        <v>238</v>
      </c>
      <c r="J553" s="18"/>
      <c r="K553" s="18"/>
      <c r="L553" s="18"/>
      <c r="M553" s="18"/>
      <c r="N553" s="18"/>
      <c r="O553" s="18" t="s">
        <v>163</v>
      </c>
      <c r="P553" s="18"/>
      <c r="Q553" s="18" t="str">
        <f>IFERROR(MATCH(K553,Niveles!$B$2:$B$10,0),"")</f>
        <v/>
      </c>
    </row>
    <row r="554" spans="1:17" x14ac:dyDescent="0.25">
      <c r="A554" s="18" t="s">
        <v>72</v>
      </c>
      <c r="B554" s="18">
        <v>1970</v>
      </c>
      <c r="C554" s="18"/>
      <c r="D554" s="18" t="s">
        <v>1450</v>
      </c>
      <c r="E554" s="18" t="s">
        <v>1451</v>
      </c>
      <c r="F554" s="18" t="s">
        <v>145</v>
      </c>
      <c r="G554" s="18" t="s">
        <v>1113</v>
      </c>
      <c r="H554" s="18">
        <v>117</v>
      </c>
      <c r="I554" s="18" t="s">
        <v>238</v>
      </c>
      <c r="J554" s="18"/>
      <c r="K554" s="18"/>
      <c r="L554" s="18"/>
      <c r="M554" s="18"/>
      <c r="N554" s="18"/>
      <c r="O554" s="18" t="s">
        <v>163</v>
      </c>
      <c r="P554" s="18"/>
      <c r="Q554" s="18" t="str">
        <f>IFERROR(MATCH(K554,Niveles!$B$2:$B$10,0),"")</f>
        <v/>
      </c>
    </row>
    <row r="555" spans="1:17" x14ac:dyDescent="0.25">
      <c r="A555" s="18" t="s">
        <v>72</v>
      </c>
      <c r="B555" s="18">
        <v>1970</v>
      </c>
      <c r="C555" s="18"/>
      <c r="D555" s="18" t="s">
        <v>1420</v>
      </c>
      <c r="E555" s="18" t="s">
        <v>1452</v>
      </c>
      <c r="F555" s="18" t="s">
        <v>145</v>
      </c>
      <c r="G555" s="18" t="s">
        <v>922</v>
      </c>
      <c r="H555" s="18">
        <v>127</v>
      </c>
      <c r="I555" s="18" t="s">
        <v>238</v>
      </c>
      <c r="J555" s="18"/>
      <c r="K555" s="18"/>
      <c r="L555" s="18"/>
      <c r="M555" s="18"/>
      <c r="N555" s="18"/>
      <c r="O555" s="18" t="s">
        <v>163</v>
      </c>
      <c r="P555" s="18"/>
      <c r="Q555" s="18" t="str">
        <f>IFERROR(MATCH(K555,Niveles!$B$2:$B$10,0),"")</f>
        <v/>
      </c>
    </row>
    <row r="556" spans="1:17" x14ac:dyDescent="0.25">
      <c r="A556" s="18" t="s">
        <v>72</v>
      </c>
      <c r="B556" s="18">
        <v>1970</v>
      </c>
      <c r="C556" s="18"/>
      <c r="D556" s="18" t="s">
        <v>666</v>
      </c>
      <c r="E556" s="18" t="s">
        <v>1453</v>
      </c>
      <c r="F556" s="18" t="s">
        <v>145</v>
      </c>
      <c r="G556" s="18" t="s">
        <v>1217</v>
      </c>
      <c r="H556" s="18">
        <v>128</v>
      </c>
      <c r="I556" s="18" t="s">
        <v>238</v>
      </c>
      <c r="J556" s="18"/>
      <c r="K556" s="18"/>
      <c r="L556" s="18"/>
      <c r="M556" s="18"/>
      <c r="N556" s="18"/>
      <c r="O556" s="18" t="s">
        <v>163</v>
      </c>
      <c r="P556" s="18"/>
      <c r="Q556" s="18" t="str">
        <f>IFERROR(MATCH(K556,Niveles!$B$2:$B$10,0),"")</f>
        <v/>
      </c>
    </row>
    <row r="557" spans="1:17" x14ac:dyDescent="0.25">
      <c r="A557" s="18" t="s">
        <v>72</v>
      </c>
      <c r="B557" s="18">
        <v>1970</v>
      </c>
      <c r="C557" s="18"/>
      <c r="D557" s="18" t="s">
        <v>948</v>
      </c>
      <c r="E557" s="18" t="s">
        <v>1454</v>
      </c>
      <c r="F557" s="18" t="s">
        <v>145</v>
      </c>
      <c r="G557" s="18" t="s">
        <v>1232</v>
      </c>
      <c r="H557" s="18">
        <v>140</v>
      </c>
      <c r="I557" s="18" t="s">
        <v>238</v>
      </c>
      <c r="J557" s="18"/>
      <c r="K557" s="18"/>
      <c r="L557" s="18"/>
      <c r="M557" s="18"/>
      <c r="N557" s="18"/>
      <c r="O557" s="18" t="s">
        <v>163</v>
      </c>
      <c r="P557" s="18"/>
      <c r="Q557" s="18" t="str">
        <f>IFERROR(MATCH(K557,Niveles!$B$2:$B$10,0),"")</f>
        <v/>
      </c>
    </row>
    <row r="558" spans="1:17" x14ac:dyDescent="0.25">
      <c r="A558" s="18" t="s">
        <v>72</v>
      </c>
      <c r="B558" s="18">
        <v>1970</v>
      </c>
      <c r="C558" s="18"/>
      <c r="D558" s="18" t="s">
        <v>950</v>
      </c>
      <c r="E558" s="18" t="s">
        <v>1455</v>
      </c>
      <c r="F558" s="18" t="s">
        <v>145</v>
      </c>
      <c r="G558" s="18" t="s">
        <v>1456</v>
      </c>
      <c r="H558" s="18">
        <v>141</v>
      </c>
      <c r="I558" s="18" t="s">
        <v>238</v>
      </c>
      <c r="J558" s="18"/>
      <c r="K558" s="18"/>
      <c r="L558" s="18"/>
      <c r="M558" s="18"/>
      <c r="N558" s="18"/>
      <c r="O558" s="18" t="s">
        <v>163</v>
      </c>
      <c r="P558" s="18"/>
      <c r="Q558" s="18" t="str">
        <f>IFERROR(MATCH(K558,Niveles!$B$2:$B$10,0),"")</f>
        <v/>
      </c>
    </row>
    <row r="559" spans="1:17" x14ac:dyDescent="0.25">
      <c r="A559" s="18" t="s">
        <v>72</v>
      </c>
      <c r="B559" s="18">
        <v>1970</v>
      </c>
      <c r="C559" s="18"/>
      <c r="D559" s="18" t="s">
        <v>952</v>
      </c>
      <c r="E559" s="18" t="s">
        <v>1457</v>
      </c>
      <c r="F559" s="18" t="s">
        <v>145</v>
      </c>
      <c r="G559" s="18" t="s">
        <v>1458</v>
      </c>
      <c r="H559" s="18">
        <v>143</v>
      </c>
      <c r="I559" s="18" t="s">
        <v>238</v>
      </c>
      <c r="J559" s="18"/>
      <c r="K559" s="18"/>
      <c r="L559" s="18"/>
      <c r="M559" s="18"/>
      <c r="N559" s="18"/>
      <c r="O559" s="18" t="s">
        <v>163</v>
      </c>
      <c r="P559" s="18"/>
      <c r="Q559" s="18" t="str">
        <f>IFERROR(MATCH(K559,Niveles!$B$2:$B$10,0),"")</f>
        <v/>
      </c>
    </row>
    <row r="560" spans="1:17" x14ac:dyDescent="0.25">
      <c r="A560" s="18" t="s">
        <v>72</v>
      </c>
      <c r="B560" s="18">
        <v>1970</v>
      </c>
      <c r="C560" s="18"/>
      <c r="D560" s="18" t="s">
        <v>385</v>
      </c>
      <c r="E560" s="18" t="s">
        <v>1459</v>
      </c>
      <c r="F560" s="18" t="s">
        <v>145</v>
      </c>
      <c r="G560" s="18" t="s">
        <v>1460</v>
      </c>
      <c r="H560" s="18">
        <v>150</v>
      </c>
      <c r="I560" s="18" t="s">
        <v>238</v>
      </c>
      <c r="J560" s="18"/>
      <c r="K560" s="18"/>
      <c r="L560" s="18"/>
      <c r="M560" s="18"/>
      <c r="N560" s="18"/>
      <c r="O560" s="18" t="s">
        <v>163</v>
      </c>
      <c r="P560" s="18"/>
      <c r="Q560" s="18" t="str">
        <f>IFERROR(MATCH(K560,Niveles!$B$2:$B$10,0),"")</f>
        <v/>
      </c>
    </row>
    <row r="561" spans="1:17" x14ac:dyDescent="0.25">
      <c r="A561" s="18" t="s">
        <v>72</v>
      </c>
      <c r="B561" s="18">
        <v>1970</v>
      </c>
      <c r="C561" s="18"/>
      <c r="D561" s="18" t="s">
        <v>858</v>
      </c>
      <c r="E561" s="18" t="s">
        <v>1461</v>
      </c>
      <c r="F561" s="18" t="s">
        <v>145</v>
      </c>
      <c r="G561" s="18" t="s">
        <v>1462</v>
      </c>
      <c r="H561" s="18">
        <v>156</v>
      </c>
      <c r="I561" s="18" t="s">
        <v>238</v>
      </c>
      <c r="J561" s="18"/>
      <c r="K561" s="18"/>
      <c r="L561" s="18"/>
      <c r="M561" s="18"/>
      <c r="N561" s="18"/>
      <c r="O561" s="18" t="s">
        <v>163</v>
      </c>
      <c r="P561" s="18"/>
      <c r="Q561" s="18" t="str">
        <f>IFERROR(MATCH(K561,Niveles!$B$2:$B$10,0),"")</f>
        <v/>
      </c>
    </row>
    <row r="562" spans="1:17" x14ac:dyDescent="0.25">
      <c r="A562" s="18" t="s">
        <v>72</v>
      </c>
      <c r="B562" s="18">
        <v>1970</v>
      </c>
      <c r="C562" s="18"/>
      <c r="D562" s="18" t="s">
        <v>862</v>
      </c>
      <c r="E562" s="18" t="s">
        <v>1463</v>
      </c>
      <c r="F562" s="18" t="s">
        <v>145</v>
      </c>
      <c r="G562" s="18" t="s">
        <v>1246</v>
      </c>
      <c r="H562" s="18">
        <v>162</v>
      </c>
      <c r="I562" s="18" t="s">
        <v>238</v>
      </c>
      <c r="J562" s="18"/>
      <c r="K562" s="18"/>
      <c r="L562" s="18"/>
      <c r="M562" s="18"/>
      <c r="N562" s="18"/>
      <c r="O562" s="18" t="s">
        <v>163</v>
      </c>
      <c r="P562" s="18"/>
      <c r="Q562" s="18" t="str">
        <f>IFERROR(MATCH(K562,Niveles!$B$2:$B$10,0),"")</f>
        <v/>
      </c>
    </row>
    <row r="563" spans="1:17" x14ac:dyDescent="0.25">
      <c r="A563" s="18" t="s">
        <v>72</v>
      </c>
      <c r="B563" s="18">
        <v>1970</v>
      </c>
      <c r="C563" s="18"/>
      <c r="D563" s="18"/>
      <c r="E563" s="18" t="s">
        <v>1464</v>
      </c>
      <c r="F563" s="18" t="s">
        <v>161</v>
      </c>
      <c r="G563" s="18"/>
      <c r="H563" s="18"/>
      <c r="I563" s="18" t="s">
        <v>284</v>
      </c>
      <c r="J563" s="18"/>
      <c r="K563" s="18"/>
      <c r="L563" s="18"/>
      <c r="M563" s="18"/>
      <c r="N563" s="18"/>
      <c r="O563" s="18" t="s">
        <v>163</v>
      </c>
      <c r="P563" s="18"/>
      <c r="Q563" s="18" t="str">
        <f>IFERROR(MATCH(K563,Niveles!$B$2:$B$10,0),"")</f>
        <v/>
      </c>
    </row>
    <row r="564" spans="1:17" x14ac:dyDescent="0.25">
      <c r="A564" s="18" t="s">
        <v>138</v>
      </c>
      <c r="B564" s="18">
        <v>1982</v>
      </c>
      <c r="C564" s="18" t="s">
        <v>1465</v>
      </c>
      <c r="D564" s="18" t="s">
        <v>112</v>
      </c>
      <c r="E564" s="18" t="s">
        <v>1466</v>
      </c>
      <c r="F564" s="18" t="s">
        <v>161</v>
      </c>
      <c r="G564" s="18" t="s">
        <v>1181</v>
      </c>
      <c r="H564" s="18"/>
      <c r="I564" s="18" t="s">
        <v>284</v>
      </c>
      <c r="J564" s="18"/>
      <c r="K564" s="18"/>
      <c r="L564" s="18"/>
      <c r="M564" s="18"/>
      <c r="N564" s="18"/>
      <c r="O564" s="18" t="s">
        <v>163</v>
      </c>
      <c r="P564" s="18"/>
      <c r="Q564" s="18" t="str">
        <f>IFERROR(MATCH(K564,Niveles!$B$2:$B$10,0),"")</f>
        <v/>
      </c>
    </row>
    <row r="565" spans="1:17" x14ac:dyDescent="0.25">
      <c r="A565" s="18" t="s">
        <v>138</v>
      </c>
      <c r="B565" s="18">
        <v>1982</v>
      </c>
      <c r="C565" s="18" t="s">
        <v>1467</v>
      </c>
      <c r="D565" s="18" t="s">
        <v>112</v>
      </c>
      <c r="E565" s="18" t="s">
        <v>1468</v>
      </c>
      <c r="F565" s="18" t="s">
        <v>161</v>
      </c>
      <c r="G565" s="18" t="s">
        <v>1469</v>
      </c>
      <c r="H565" s="18"/>
      <c r="I565" s="18" t="s">
        <v>284</v>
      </c>
      <c r="J565" s="18"/>
      <c r="K565" s="18"/>
      <c r="L565" s="18"/>
      <c r="M565" s="18"/>
      <c r="N565" s="18"/>
      <c r="O565" s="18" t="s">
        <v>163</v>
      </c>
      <c r="P565" s="18"/>
      <c r="Q565" s="18" t="str">
        <f>IFERROR(MATCH(K565,Niveles!$B$2:$B$10,0),"")</f>
        <v/>
      </c>
    </row>
    <row r="566" spans="1:17" x14ac:dyDescent="0.25">
      <c r="A566" s="18" t="s">
        <v>138</v>
      </c>
      <c r="B566" s="18">
        <v>1982</v>
      </c>
      <c r="C566" s="18" t="s">
        <v>1467</v>
      </c>
      <c r="D566" s="18" t="s">
        <v>237</v>
      </c>
      <c r="E566" s="18" t="s">
        <v>1470</v>
      </c>
      <c r="F566" s="18" t="s">
        <v>161</v>
      </c>
      <c r="G566" s="18" t="s">
        <v>1471</v>
      </c>
      <c r="H566" s="18"/>
      <c r="I566" s="18" t="s">
        <v>284</v>
      </c>
      <c r="J566" s="18"/>
      <c r="K566" s="18"/>
      <c r="L566" s="18"/>
      <c r="M566" s="18"/>
      <c r="N566" s="18"/>
      <c r="O566" s="18" t="s">
        <v>163</v>
      </c>
      <c r="P566" s="18"/>
      <c r="Q566" s="18" t="str">
        <f>IFERROR(MATCH(K566,Niveles!$B$2:$B$10,0),"")</f>
        <v/>
      </c>
    </row>
    <row r="567" spans="1:17" x14ac:dyDescent="0.25">
      <c r="A567" s="18" t="s">
        <v>138</v>
      </c>
      <c r="B567" s="18">
        <v>1982</v>
      </c>
      <c r="C567" s="18" t="s">
        <v>1472</v>
      </c>
      <c r="D567" s="18" t="s">
        <v>112</v>
      </c>
      <c r="E567" s="18" t="s">
        <v>1473</v>
      </c>
      <c r="F567" s="18" t="s">
        <v>161</v>
      </c>
      <c r="G567" s="18" t="s">
        <v>1474</v>
      </c>
      <c r="H567" s="18"/>
      <c r="I567" s="18" t="s">
        <v>284</v>
      </c>
      <c r="J567" s="18"/>
      <c r="K567" s="18"/>
      <c r="L567" s="18"/>
      <c r="M567" s="18"/>
      <c r="N567" s="18"/>
      <c r="O567" s="18" t="s">
        <v>163</v>
      </c>
      <c r="P567" s="18"/>
      <c r="Q567" s="18" t="str">
        <f>IFERROR(MATCH(K567,Niveles!$B$2:$B$10,0),"")</f>
        <v/>
      </c>
    </row>
    <row r="568" spans="1:17" x14ac:dyDescent="0.25">
      <c r="A568" s="18" t="s">
        <v>138</v>
      </c>
      <c r="B568" s="18">
        <v>1982</v>
      </c>
      <c r="C568" s="18" t="s">
        <v>1475</v>
      </c>
      <c r="D568" s="18" t="s">
        <v>139</v>
      </c>
      <c r="E568" s="18" t="s">
        <v>1476</v>
      </c>
      <c r="F568" s="18" t="s">
        <v>145</v>
      </c>
      <c r="G568" s="18" t="s">
        <v>237</v>
      </c>
      <c r="H568" s="18">
        <v>40</v>
      </c>
      <c r="I568" s="18" t="s">
        <v>162</v>
      </c>
      <c r="J568" s="18" t="s">
        <v>1477</v>
      </c>
      <c r="K568" s="18" t="s">
        <v>125</v>
      </c>
      <c r="L568" s="18" t="s">
        <v>663</v>
      </c>
      <c r="M568" s="18" t="s">
        <v>255</v>
      </c>
      <c r="N568" s="18" t="s">
        <v>162</v>
      </c>
      <c r="O568" s="18" t="s">
        <v>175</v>
      </c>
      <c r="P568" s="18" t="s">
        <v>1478</v>
      </c>
      <c r="Q568" s="18">
        <f>IFERROR(MATCH(K568,Niveles!$B$2:$B$10,0),"")</f>
        <v>3</v>
      </c>
    </row>
    <row r="569" spans="1:17" x14ac:dyDescent="0.25">
      <c r="A569" s="18" t="s">
        <v>138</v>
      </c>
      <c r="B569" s="18">
        <v>1982</v>
      </c>
      <c r="C569" s="18" t="s">
        <v>1475</v>
      </c>
      <c r="D569" s="18" t="s">
        <v>141</v>
      </c>
      <c r="E569" s="18" t="s">
        <v>1479</v>
      </c>
      <c r="F569" s="18" t="s">
        <v>145</v>
      </c>
      <c r="G569" s="18" t="s">
        <v>1435</v>
      </c>
      <c r="H569" s="18">
        <v>105</v>
      </c>
      <c r="I569" s="18" t="s">
        <v>162</v>
      </c>
      <c r="J569" s="18" t="s">
        <v>1477</v>
      </c>
      <c r="K569" s="18" t="s">
        <v>108</v>
      </c>
      <c r="L569" s="18" t="s">
        <v>981</v>
      </c>
      <c r="M569" s="18" t="s">
        <v>255</v>
      </c>
      <c r="N569" s="18" t="s">
        <v>162</v>
      </c>
      <c r="O569" s="18" t="s">
        <v>175</v>
      </c>
      <c r="P569" s="18" t="s">
        <v>1480</v>
      </c>
      <c r="Q569" s="18">
        <f>IFERROR(MATCH(K569,Niveles!$B$2:$B$10,0),"")</f>
        <v>9</v>
      </c>
    </row>
    <row r="570" spans="1:17" x14ac:dyDescent="0.25">
      <c r="A570" s="18" t="s">
        <v>138</v>
      </c>
      <c r="B570" s="18">
        <v>1982</v>
      </c>
      <c r="C570" s="18" t="s">
        <v>1475</v>
      </c>
      <c r="D570" s="18" t="s">
        <v>1481</v>
      </c>
      <c r="E570" s="18" t="s">
        <v>1482</v>
      </c>
      <c r="F570" s="18" t="s">
        <v>145</v>
      </c>
      <c r="G570" s="18" t="s">
        <v>463</v>
      </c>
      <c r="H570" s="18">
        <v>120</v>
      </c>
      <c r="I570" s="18" t="s">
        <v>238</v>
      </c>
      <c r="J570" s="18"/>
      <c r="K570" s="18"/>
      <c r="L570" s="18"/>
      <c r="M570" s="18"/>
      <c r="N570" s="18"/>
      <c r="O570" s="18" t="s">
        <v>163</v>
      </c>
      <c r="P570" s="18"/>
      <c r="Q570" s="18" t="str">
        <f>IFERROR(MATCH(K570,Niveles!$B$2:$B$10,0),"")</f>
        <v/>
      </c>
    </row>
    <row r="571" spans="1:17" x14ac:dyDescent="0.25">
      <c r="A571" s="18" t="s">
        <v>138</v>
      </c>
      <c r="B571" s="18">
        <v>1982</v>
      </c>
      <c r="C571" s="18" t="s">
        <v>1483</v>
      </c>
      <c r="D571" s="18" t="s">
        <v>1484</v>
      </c>
      <c r="E571" s="18" t="s">
        <v>1485</v>
      </c>
      <c r="F571" s="18" t="s">
        <v>145</v>
      </c>
      <c r="G571" s="18" t="s">
        <v>1111</v>
      </c>
      <c r="H571" s="18">
        <v>129</v>
      </c>
      <c r="I571" s="18" t="s">
        <v>238</v>
      </c>
      <c r="J571" s="18"/>
      <c r="K571" s="18"/>
      <c r="L571" s="18"/>
      <c r="M571" s="18"/>
      <c r="N571" s="18"/>
      <c r="O571" s="18" t="s">
        <v>163</v>
      </c>
      <c r="P571" s="18"/>
      <c r="Q571" s="18" t="str">
        <f>IFERROR(MATCH(K571,Niveles!$B$2:$B$10,0),"")</f>
        <v/>
      </c>
    </row>
    <row r="572" spans="1:17" x14ac:dyDescent="0.25">
      <c r="A572" s="18" t="s">
        <v>138</v>
      </c>
      <c r="B572" s="18">
        <v>1982</v>
      </c>
      <c r="C572" s="18" t="s">
        <v>1483</v>
      </c>
      <c r="D572" s="18" t="s">
        <v>1486</v>
      </c>
      <c r="E572" s="18" t="s">
        <v>1487</v>
      </c>
      <c r="F572" s="18" t="s">
        <v>145</v>
      </c>
      <c r="G572" s="18" t="s">
        <v>542</v>
      </c>
      <c r="H572" s="18">
        <v>131</v>
      </c>
      <c r="I572" s="18" t="s">
        <v>238</v>
      </c>
      <c r="J572" s="18"/>
      <c r="K572" s="18"/>
      <c r="L572" s="18"/>
      <c r="M572" s="18"/>
      <c r="N572" s="18"/>
      <c r="O572" s="18" t="s">
        <v>163</v>
      </c>
      <c r="P572" s="18"/>
      <c r="Q572" s="18" t="str">
        <f>IFERROR(MATCH(K572,Niveles!$B$2:$B$10,0),"")</f>
        <v/>
      </c>
    </row>
    <row r="573" spans="1:17" x14ac:dyDescent="0.25">
      <c r="A573" s="18" t="s">
        <v>138</v>
      </c>
      <c r="B573" s="18">
        <v>1982</v>
      </c>
      <c r="C573" s="18" t="s">
        <v>1483</v>
      </c>
      <c r="D573" s="18" t="s">
        <v>1488</v>
      </c>
      <c r="E573" s="18" t="s">
        <v>1489</v>
      </c>
      <c r="F573" s="18" t="s">
        <v>145</v>
      </c>
      <c r="G573" s="18" t="s">
        <v>1214</v>
      </c>
      <c r="H573" s="18">
        <v>152</v>
      </c>
      <c r="I573" s="18" t="s">
        <v>238</v>
      </c>
      <c r="J573" s="18"/>
      <c r="K573" s="18"/>
      <c r="L573" s="18"/>
      <c r="M573" s="18"/>
      <c r="N573" s="18"/>
      <c r="O573" s="18" t="s">
        <v>163</v>
      </c>
      <c r="P573" s="18"/>
      <c r="Q573" s="18" t="str">
        <f>IFERROR(MATCH(K573,Niveles!$B$2:$B$10,0),"")</f>
        <v/>
      </c>
    </row>
    <row r="574" spans="1:17" x14ac:dyDescent="0.25">
      <c r="A574" s="18" t="s">
        <v>138</v>
      </c>
      <c r="B574" s="18">
        <v>1982</v>
      </c>
      <c r="C574" s="18" t="s">
        <v>1483</v>
      </c>
      <c r="D574" s="18" t="s">
        <v>1490</v>
      </c>
      <c r="E574" s="18" t="s">
        <v>1491</v>
      </c>
      <c r="F574" s="18" t="s">
        <v>145</v>
      </c>
      <c r="G574" s="18" t="s">
        <v>1492</v>
      </c>
      <c r="H574" s="18">
        <v>194</v>
      </c>
      <c r="I574" s="18" t="s">
        <v>238</v>
      </c>
      <c r="J574" s="18"/>
      <c r="K574" s="18"/>
      <c r="L574" s="18"/>
      <c r="M574" s="18"/>
      <c r="N574" s="18"/>
      <c r="O574" s="18" t="s">
        <v>163</v>
      </c>
      <c r="P574" s="18"/>
      <c r="Q574" s="18" t="str">
        <f>IFERROR(MATCH(K574,Niveles!$B$2:$B$10,0),"")</f>
        <v/>
      </c>
    </row>
    <row r="575" spans="1:17" x14ac:dyDescent="0.25">
      <c r="A575" s="18" t="s">
        <v>138</v>
      </c>
      <c r="B575" s="18">
        <v>1982</v>
      </c>
      <c r="C575" s="18" t="s">
        <v>1493</v>
      </c>
      <c r="D575" s="18" t="s">
        <v>1494</v>
      </c>
      <c r="E575" s="18" t="s">
        <v>1495</v>
      </c>
      <c r="F575" s="18" t="s">
        <v>145</v>
      </c>
      <c r="G575" s="18" t="s">
        <v>1496</v>
      </c>
      <c r="H575" s="18">
        <v>212</v>
      </c>
      <c r="I575" s="18" t="s">
        <v>238</v>
      </c>
      <c r="J575" s="18"/>
      <c r="K575" s="18"/>
      <c r="L575" s="18"/>
      <c r="M575" s="18"/>
      <c r="N575" s="18"/>
      <c r="O575" s="18" t="s">
        <v>163</v>
      </c>
      <c r="P575" s="18"/>
      <c r="Q575" s="18" t="str">
        <f>IFERROR(MATCH(K575,Niveles!$B$2:$B$10,0),"")</f>
        <v/>
      </c>
    </row>
    <row r="576" spans="1:17" x14ac:dyDescent="0.25">
      <c r="A576" s="18" t="s">
        <v>138</v>
      </c>
      <c r="B576" s="18">
        <v>1982</v>
      </c>
      <c r="C576" s="18" t="s">
        <v>1493</v>
      </c>
      <c r="D576" s="18" t="s">
        <v>1497</v>
      </c>
      <c r="E576" s="18" t="s">
        <v>1498</v>
      </c>
      <c r="F576" s="18" t="s">
        <v>145</v>
      </c>
      <c r="G576" s="18" t="s">
        <v>1499</v>
      </c>
      <c r="H576" s="18">
        <v>230</v>
      </c>
      <c r="I576" s="18" t="s">
        <v>238</v>
      </c>
      <c r="J576" s="18"/>
      <c r="K576" s="18"/>
      <c r="L576" s="18"/>
      <c r="M576" s="18"/>
      <c r="N576" s="18"/>
      <c r="O576" s="18" t="s">
        <v>163</v>
      </c>
      <c r="P576" s="18"/>
      <c r="Q576" s="18" t="str">
        <f>IFERROR(MATCH(K576,Niveles!$B$2:$B$10,0),"")</f>
        <v/>
      </c>
    </row>
    <row r="577" spans="1:17" x14ac:dyDescent="0.25">
      <c r="A577" s="18" t="s">
        <v>138</v>
      </c>
      <c r="B577" s="18">
        <v>1982</v>
      </c>
      <c r="C577" s="18" t="s">
        <v>1500</v>
      </c>
      <c r="D577" s="18" t="s">
        <v>1501</v>
      </c>
      <c r="E577" s="18" t="s">
        <v>1502</v>
      </c>
      <c r="F577" s="18" t="s">
        <v>145</v>
      </c>
      <c r="G577" s="18" t="s">
        <v>1503</v>
      </c>
      <c r="H577" s="18">
        <v>266</v>
      </c>
      <c r="I577" s="18" t="s">
        <v>238</v>
      </c>
      <c r="J577" s="18"/>
      <c r="K577" s="18"/>
      <c r="L577" s="18"/>
      <c r="M577" s="18"/>
      <c r="N577" s="18"/>
      <c r="O577" s="18" t="s">
        <v>163</v>
      </c>
      <c r="P577" s="18"/>
      <c r="Q577" s="18" t="str">
        <f>IFERROR(MATCH(K577,Niveles!$B$2:$B$10,0),"")</f>
        <v/>
      </c>
    </row>
    <row r="578" spans="1:17" x14ac:dyDescent="0.25">
      <c r="A578" s="18" t="s">
        <v>138</v>
      </c>
      <c r="B578" s="18">
        <v>1982</v>
      </c>
      <c r="C578" s="18" t="s">
        <v>1500</v>
      </c>
      <c r="D578" s="18" t="s">
        <v>1504</v>
      </c>
      <c r="E578" s="18" t="s">
        <v>1505</v>
      </c>
      <c r="F578" s="18" t="s">
        <v>145</v>
      </c>
      <c r="G578" s="18" t="s">
        <v>786</v>
      </c>
      <c r="H578" s="18">
        <v>272</v>
      </c>
      <c r="I578" s="18" t="s">
        <v>238</v>
      </c>
      <c r="J578" s="18"/>
      <c r="K578" s="18"/>
      <c r="L578" s="18"/>
      <c r="M578" s="18"/>
      <c r="N578" s="18"/>
      <c r="O578" s="18" t="s">
        <v>163</v>
      </c>
      <c r="P578" s="18"/>
      <c r="Q578" s="18" t="str">
        <f>IFERROR(MATCH(K578,Niveles!$B$2:$B$10,0),"")</f>
        <v/>
      </c>
    </row>
    <row r="579" spans="1:17" x14ac:dyDescent="0.25">
      <c r="A579" s="18" t="s">
        <v>138</v>
      </c>
      <c r="B579" s="18">
        <v>1982</v>
      </c>
      <c r="C579" s="18" t="s">
        <v>1500</v>
      </c>
      <c r="D579" s="18" t="s">
        <v>1506</v>
      </c>
      <c r="E579" s="18" t="s">
        <v>1507</v>
      </c>
      <c r="F579" s="18" t="s">
        <v>145</v>
      </c>
      <c r="G579" s="18" t="s">
        <v>1508</v>
      </c>
      <c r="H579" s="18">
        <v>276</v>
      </c>
      <c r="I579" s="18" t="s">
        <v>238</v>
      </c>
      <c r="J579" s="18"/>
      <c r="K579" s="18"/>
      <c r="L579" s="18"/>
      <c r="M579" s="18"/>
      <c r="N579" s="18"/>
      <c r="O579" s="18" t="s">
        <v>163</v>
      </c>
      <c r="P579" s="18"/>
      <c r="Q579" s="18" t="str">
        <f>IFERROR(MATCH(K579,Niveles!$B$2:$B$10,0),"")</f>
        <v/>
      </c>
    </row>
    <row r="580" spans="1:17" x14ac:dyDescent="0.25">
      <c r="A580" s="18" t="s">
        <v>138</v>
      </c>
      <c r="B580" s="18">
        <v>1982</v>
      </c>
      <c r="C580" s="18" t="s">
        <v>1500</v>
      </c>
      <c r="D580" s="18" t="s">
        <v>1509</v>
      </c>
      <c r="E580" s="18" t="s">
        <v>1510</v>
      </c>
      <c r="F580" s="18" t="s">
        <v>145</v>
      </c>
      <c r="G580" s="18" t="s">
        <v>1511</v>
      </c>
      <c r="H580" s="18">
        <v>280</v>
      </c>
      <c r="I580" s="18" t="s">
        <v>238</v>
      </c>
      <c r="J580" s="18"/>
      <c r="K580" s="18"/>
      <c r="L580" s="18"/>
      <c r="M580" s="18"/>
      <c r="N580" s="18"/>
      <c r="O580" s="18" t="s">
        <v>163</v>
      </c>
      <c r="P580" s="18"/>
      <c r="Q580" s="18" t="str">
        <f>IFERROR(MATCH(K580,Niveles!$B$2:$B$10,0),"")</f>
        <v/>
      </c>
    </row>
    <row r="581" spans="1:17" x14ac:dyDescent="0.25">
      <c r="A581" s="18" t="s">
        <v>138</v>
      </c>
      <c r="B581" s="18">
        <v>1982</v>
      </c>
      <c r="C581" s="18" t="s">
        <v>1500</v>
      </c>
      <c r="D581" s="18" t="s">
        <v>1512</v>
      </c>
      <c r="E581" s="18" t="s">
        <v>1513</v>
      </c>
      <c r="F581" s="18" t="s">
        <v>145</v>
      </c>
      <c r="G581" s="18" t="s">
        <v>1514</v>
      </c>
      <c r="H581" s="18">
        <v>284</v>
      </c>
      <c r="I581" s="18" t="s">
        <v>238</v>
      </c>
      <c r="J581" s="18"/>
      <c r="K581" s="18"/>
      <c r="L581" s="18"/>
      <c r="M581" s="18"/>
      <c r="N581" s="18"/>
      <c r="O581" s="18" t="s">
        <v>163</v>
      </c>
      <c r="P581" s="18"/>
      <c r="Q581" s="18" t="str">
        <f>IFERROR(MATCH(K581,Niveles!$B$2:$B$10,0),"")</f>
        <v/>
      </c>
    </row>
    <row r="582" spans="1:17" x14ac:dyDescent="0.25">
      <c r="A582" s="18" t="s">
        <v>138</v>
      </c>
      <c r="B582" s="18">
        <v>1982</v>
      </c>
      <c r="C582" s="18" t="s">
        <v>1500</v>
      </c>
      <c r="D582" s="18" t="s">
        <v>1515</v>
      </c>
      <c r="E582" s="18" t="s">
        <v>1516</v>
      </c>
      <c r="F582" s="18" t="s">
        <v>145</v>
      </c>
      <c r="G582" s="18" t="s">
        <v>794</v>
      </c>
      <c r="H582" s="18">
        <v>320</v>
      </c>
      <c r="I582" s="18" t="s">
        <v>238</v>
      </c>
      <c r="J582" s="18"/>
      <c r="K582" s="18"/>
      <c r="L582" s="18"/>
      <c r="M582" s="18"/>
      <c r="N582" s="18"/>
      <c r="O582" s="18" t="s">
        <v>163</v>
      </c>
      <c r="P582" s="18"/>
      <c r="Q582" s="18" t="str">
        <f>IFERROR(MATCH(K582,Niveles!$B$2:$B$10,0),"")</f>
        <v/>
      </c>
    </row>
    <row r="583" spans="1:17" x14ac:dyDescent="0.25">
      <c r="A583" s="18" t="s">
        <v>138</v>
      </c>
      <c r="B583" s="18">
        <v>1982</v>
      </c>
      <c r="C583" s="18" t="s">
        <v>1500</v>
      </c>
      <c r="D583" s="18" t="s">
        <v>1517</v>
      </c>
      <c r="E583" s="18" t="s">
        <v>1518</v>
      </c>
      <c r="F583" s="18" t="s">
        <v>145</v>
      </c>
      <c r="G583" s="18" t="s">
        <v>1137</v>
      </c>
      <c r="H583" s="18">
        <v>356</v>
      </c>
      <c r="I583" s="18" t="s">
        <v>238</v>
      </c>
      <c r="J583" s="18"/>
      <c r="K583" s="18"/>
      <c r="L583" s="18"/>
      <c r="M583" s="18"/>
      <c r="N583" s="18"/>
      <c r="O583" s="18" t="s">
        <v>163</v>
      </c>
      <c r="P583" s="18"/>
      <c r="Q583" s="18" t="str">
        <f>IFERROR(MATCH(K583,Niveles!$B$2:$B$10,0),"")</f>
        <v/>
      </c>
    </row>
    <row r="584" spans="1:17" x14ac:dyDescent="0.25">
      <c r="A584" s="18" t="s">
        <v>1519</v>
      </c>
      <c r="B584" s="18">
        <v>1982</v>
      </c>
      <c r="C584" s="18" t="s">
        <v>1520</v>
      </c>
      <c r="D584" s="18"/>
      <c r="E584" s="18" t="s">
        <v>1466</v>
      </c>
      <c r="F584" s="18" t="s">
        <v>161</v>
      </c>
      <c r="G584" s="18"/>
      <c r="H584" s="18"/>
      <c r="I584" s="18" t="s">
        <v>284</v>
      </c>
      <c r="J584" s="18"/>
      <c r="K584" s="18"/>
      <c r="L584" s="18"/>
      <c r="M584" s="18"/>
      <c r="N584" s="18"/>
      <c r="O584" s="18" t="s">
        <v>163</v>
      </c>
      <c r="P584" s="18" t="s">
        <v>1521</v>
      </c>
      <c r="Q584" s="18" t="str">
        <f>IFERROR(MATCH(K584,Niveles!$B$2:$B$10,0),"")</f>
        <v/>
      </c>
    </row>
    <row r="585" spans="1:17" x14ac:dyDescent="0.25">
      <c r="A585" s="18" t="s">
        <v>1519</v>
      </c>
      <c r="B585" s="18">
        <v>1982</v>
      </c>
      <c r="C585" s="18" t="s">
        <v>1522</v>
      </c>
      <c r="D585" s="18"/>
      <c r="E585" s="18" t="s">
        <v>1523</v>
      </c>
      <c r="F585" s="18" t="s">
        <v>161</v>
      </c>
      <c r="G585" s="18"/>
      <c r="H585" s="18"/>
      <c r="I585" s="18" t="s">
        <v>284</v>
      </c>
      <c r="J585" s="18"/>
      <c r="K585" s="18"/>
      <c r="L585" s="18"/>
      <c r="M585" s="18"/>
      <c r="N585" s="18"/>
      <c r="O585" s="18" t="s">
        <v>163</v>
      </c>
      <c r="P585" s="18" t="s">
        <v>1524</v>
      </c>
      <c r="Q585" s="18" t="str">
        <f>IFERROR(MATCH(K585,Niveles!$B$2:$B$10,0),"")</f>
        <v/>
      </c>
    </row>
    <row r="586" spans="1:17" x14ac:dyDescent="0.25">
      <c r="A586" s="18" t="s">
        <v>1519</v>
      </c>
      <c r="B586" s="18">
        <v>1982</v>
      </c>
      <c r="C586" s="18" t="s">
        <v>1500</v>
      </c>
      <c r="D586" s="18" t="s">
        <v>1525</v>
      </c>
      <c r="E586" s="18" t="s">
        <v>1526</v>
      </c>
      <c r="F586" s="18" t="s">
        <v>145</v>
      </c>
      <c r="G586" s="18" t="s">
        <v>237</v>
      </c>
      <c r="H586" s="18">
        <v>17</v>
      </c>
      <c r="I586" s="18" t="s">
        <v>162</v>
      </c>
      <c r="J586" s="18"/>
      <c r="K586" s="18"/>
      <c r="L586" s="18"/>
      <c r="M586" s="18"/>
      <c r="N586" s="18"/>
      <c r="O586" s="18" t="s">
        <v>163</v>
      </c>
      <c r="P586" s="18"/>
      <c r="Q586" s="18" t="str">
        <f>IFERROR(MATCH(K586,Niveles!$B$2:$B$10,0),"")</f>
        <v/>
      </c>
    </row>
    <row r="587" spans="1:17" x14ac:dyDescent="0.25">
      <c r="A587" s="18" t="s">
        <v>1519</v>
      </c>
      <c r="B587" s="18">
        <v>1982</v>
      </c>
      <c r="C587" s="18" t="s">
        <v>1500</v>
      </c>
      <c r="D587" s="18" t="s">
        <v>1527</v>
      </c>
      <c r="E587" s="18" t="s">
        <v>1528</v>
      </c>
      <c r="F587" s="18" t="s">
        <v>145</v>
      </c>
      <c r="G587" s="18" t="s">
        <v>875</v>
      </c>
      <c r="H587" s="18">
        <v>71</v>
      </c>
      <c r="I587" s="18" t="s">
        <v>238</v>
      </c>
      <c r="J587" s="18"/>
      <c r="K587" s="18"/>
      <c r="L587" s="18"/>
      <c r="M587" s="18"/>
      <c r="N587" s="18"/>
      <c r="O587" s="18" t="s">
        <v>163</v>
      </c>
      <c r="P587" s="18"/>
      <c r="Q587" s="18" t="str">
        <f>IFERROR(MATCH(K587,Niveles!$B$2:$B$10,0),"")</f>
        <v/>
      </c>
    </row>
    <row r="588" spans="1:17" x14ac:dyDescent="0.25">
      <c r="A588" s="18" t="s">
        <v>1519</v>
      </c>
      <c r="B588" s="18">
        <v>1982</v>
      </c>
      <c r="C588" s="18" t="s">
        <v>1500</v>
      </c>
      <c r="D588" s="18" t="s">
        <v>1529</v>
      </c>
      <c r="E588" s="18" t="s">
        <v>1530</v>
      </c>
      <c r="F588" s="18" t="s">
        <v>145</v>
      </c>
      <c r="G588" s="18" t="s">
        <v>1531</v>
      </c>
      <c r="H588" s="18">
        <v>125</v>
      </c>
      <c r="I588" s="18" t="s">
        <v>238</v>
      </c>
      <c r="J588" s="18"/>
      <c r="K588" s="18"/>
      <c r="L588" s="18"/>
      <c r="M588" s="18"/>
      <c r="N588" s="18"/>
      <c r="O588" s="18" t="s">
        <v>163</v>
      </c>
      <c r="P588" s="18"/>
      <c r="Q588" s="18" t="str">
        <f>IFERROR(MATCH(K588,Niveles!$B$2:$B$10,0),"")</f>
        <v/>
      </c>
    </row>
    <row r="589" spans="1:17" x14ac:dyDescent="0.25">
      <c r="A589" s="18" t="s">
        <v>1519</v>
      </c>
      <c r="B589" s="18">
        <v>1982</v>
      </c>
      <c r="C589" s="18" t="s">
        <v>1500</v>
      </c>
      <c r="D589" s="18" t="s">
        <v>1532</v>
      </c>
      <c r="E589" s="18" t="s">
        <v>1533</v>
      </c>
      <c r="F589" s="18" t="s">
        <v>145</v>
      </c>
      <c r="G589" s="18" t="s">
        <v>1005</v>
      </c>
      <c r="H589" s="18">
        <v>179</v>
      </c>
      <c r="I589" s="18" t="s">
        <v>238</v>
      </c>
      <c r="J589" s="18"/>
      <c r="K589" s="18"/>
      <c r="L589" s="18"/>
      <c r="M589" s="18"/>
      <c r="N589" s="18"/>
      <c r="O589" s="18" t="s">
        <v>163</v>
      </c>
      <c r="P589" s="18"/>
      <c r="Q589" s="18" t="str">
        <f>IFERROR(MATCH(K589,Niveles!$B$2:$B$10,0),"")</f>
        <v/>
      </c>
    </row>
    <row r="590" spans="1:17" x14ac:dyDescent="0.25">
      <c r="A590" s="18" t="s">
        <v>1519</v>
      </c>
      <c r="B590" s="18">
        <v>1982</v>
      </c>
      <c r="C590" s="18" t="s">
        <v>1500</v>
      </c>
      <c r="D590" s="18" t="s">
        <v>1534</v>
      </c>
      <c r="E590" s="18" t="s">
        <v>1535</v>
      </c>
      <c r="F590" s="18" t="s">
        <v>145</v>
      </c>
      <c r="G590" s="18" t="s">
        <v>469</v>
      </c>
      <c r="H590" s="18">
        <v>181</v>
      </c>
      <c r="I590" s="18" t="s">
        <v>238</v>
      </c>
      <c r="J590" s="18"/>
      <c r="K590" s="18"/>
      <c r="L590" s="18"/>
      <c r="M590" s="18"/>
      <c r="N590" s="18"/>
      <c r="O590" s="18" t="s">
        <v>163</v>
      </c>
      <c r="P590" s="18"/>
      <c r="Q590" s="18" t="str">
        <f>IFERROR(MATCH(K590,Niveles!$B$2:$B$10,0),"")</f>
        <v/>
      </c>
    </row>
    <row r="591" spans="1:17" x14ac:dyDescent="0.25">
      <c r="A591" s="18" t="s">
        <v>1519</v>
      </c>
      <c r="B591" s="18">
        <v>1982</v>
      </c>
      <c r="C591" s="18" t="s">
        <v>1500</v>
      </c>
      <c r="D591" s="18" t="s">
        <v>1536</v>
      </c>
      <c r="E591" s="18" t="s">
        <v>1537</v>
      </c>
      <c r="F591" s="18" t="s">
        <v>145</v>
      </c>
      <c r="G591" s="18" t="s">
        <v>1538</v>
      </c>
      <c r="H591" s="18">
        <v>183</v>
      </c>
      <c r="I591" s="18" t="s">
        <v>238</v>
      </c>
      <c r="J591" s="18"/>
      <c r="K591" s="18"/>
      <c r="L591" s="18"/>
      <c r="M591" s="18"/>
      <c r="N591" s="18"/>
      <c r="O591" s="18" t="s">
        <v>163</v>
      </c>
      <c r="P591" s="18"/>
      <c r="Q591" s="18" t="str">
        <f>IFERROR(MATCH(K591,Niveles!$B$2:$B$10,0),"")</f>
        <v/>
      </c>
    </row>
    <row r="592" spans="1:17" x14ac:dyDescent="0.25">
      <c r="A592" s="18" t="s">
        <v>1519</v>
      </c>
      <c r="B592" s="18">
        <v>1982</v>
      </c>
      <c r="C592" s="18" t="s">
        <v>1500</v>
      </c>
      <c r="D592" s="18" t="s">
        <v>1539</v>
      </c>
      <c r="E592" s="18" t="s">
        <v>1540</v>
      </c>
      <c r="F592" s="18" t="s">
        <v>145</v>
      </c>
      <c r="G592" s="18" t="s">
        <v>1258</v>
      </c>
      <c r="H592" s="18">
        <v>185</v>
      </c>
      <c r="I592" s="18" t="s">
        <v>238</v>
      </c>
      <c r="J592" s="18"/>
      <c r="K592" s="18"/>
      <c r="L592" s="18"/>
      <c r="M592" s="18"/>
      <c r="N592" s="18"/>
      <c r="O592" s="18" t="s">
        <v>163</v>
      </c>
      <c r="P592" s="18"/>
      <c r="Q592" s="18" t="str">
        <f>IFERROR(MATCH(K592,Niveles!$B$2:$B$10,0),"")</f>
        <v/>
      </c>
    </row>
    <row r="593" spans="1:17" x14ac:dyDescent="0.25">
      <c r="A593" s="18" t="s">
        <v>1519</v>
      </c>
      <c r="B593" s="18">
        <v>1982</v>
      </c>
      <c r="C593" s="18" t="s">
        <v>1500</v>
      </c>
      <c r="D593" s="18" t="s">
        <v>1541</v>
      </c>
      <c r="E593" s="18" t="s">
        <v>1542</v>
      </c>
      <c r="F593" s="18" t="s">
        <v>145</v>
      </c>
      <c r="G593" s="18" t="s">
        <v>275</v>
      </c>
      <c r="H593" s="18">
        <v>225</v>
      </c>
      <c r="I593" s="18" t="s">
        <v>238</v>
      </c>
      <c r="J593" s="18"/>
      <c r="K593" s="18"/>
      <c r="L593" s="18"/>
      <c r="M593" s="18"/>
      <c r="N593" s="18"/>
      <c r="O593" s="18" t="s">
        <v>163</v>
      </c>
      <c r="P593" s="18"/>
      <c r="Q593" s="18" t="str">
        <f>IFERROR(MATCH(K593,Niveles!$B$2:$B$10,0),"")</f>
        <v/>
      </c>
    </row>
    <row r="594" spans="1:17" x14ac:dyDescent="0.25">
      <c r="A594" s="18" t="s">
        <v>1519</v>
      </c>
      <c r="B594" s="18">
        <v>1982</v>
      </c>
      <c r="C594" s="18" t="s">
        <v>1500</v>
      </c>
      <c r="D594" s="18" t="s">
        <v>1543</v>
      </c>
      <c r="E594" s="18" t="s">
        <v>1544</v>
      </c>
      <c r="F594" s="18" t="s">
        <v>145</v>
      </c>
      <c r="G594" s="18" t="s">
        <v>1545</v>
      </c>
      <c r="H594" s="18">
        <v>241</v>
      </c>
      <c r="I594" s="18" t="s">
        <v>238</v>
      </c>
      <c r="J594" s="18"/>
      <c r="K594" s="18"/>
      <c r="L594" s="18"/>
      <c r="M594" s="18"/>
      <c r="N594" s="18"/>
      <c r="O594" s="18" t="s">
        <v>163</v>
      </c>
      <c r="P594" s="18"/>
      <c r="Q594" s="18" t="str">
        <f>IFERROR(MATCH(K594,Niveles!$B$2:$B$10,0),"")</f>
        <v/>
      </c>
    </row>
    <row r="595" spans="1:17" x14ac:dyDescent="0.25">
      <c r="A595" s="18" t="s">
        <v>1519</v>
      </c>
      <c r="B595" s="18">
        <v>1982</v>
      </c>
      <c r="C595" s="18" t="s">
        <v>1500</v>
      </c>
      <c r="D595" s="18" t="s">
        <v>1546</v>
      </c>
      <c r="E595" s="18" t="s">
        <v>1547</v>
      </c>
      <c r="F595" s="18" t="s">
        <v>145</v>
      </c>
      <c r="G595" s="18" t="s">
        <v>1131</v>
      </c>
      <c r="H595" s="18">
        <v>255</v>
      </c>
      <c r="I595" s="18" t="s">
        <v>238</v>
      </c>
      <c r="J595" s="18"/>
      <c r="K595" s="18"/>
      <c r="L595" s="18"/>
      <c r="M595" s="18"/>
      <c r="N595" s="18"/>
      <c r="O595" s="18" t="s">
        <v>163</v>
      </c>
      <c r="P595" s="18"/>
      <c r="Q595" s="18" t="str">
        <f>IFERROR(MATCH(K595,Niveles!$B$2:$B$10,0),"")</f>
        <v/>
      </c>
    </row>
    <row r="596" spans="1:17" x14ac:dyDescent="0.25">
      <c r="A596" s="18" t="s">
        <v>1519</v>
      </c>
      <c r="B596" s="18">
        <v>1982</v>
      </c>
      <c r="C596" s="18" t="s">
        <v>1500</v>
      </c>
      <c r="D596" s="18" t="s">
        <v>1548</v>
      </c>
      <c r="E596" s="18" t="s">
        <v>1549</v>
      </c>
      <c r="F596" s="18" t="s">
        <v>145</v>
      </c>
      <c r="G596" s="18" t="s">
        <v>1550</v>
      </c>
      <c r="H596" s="18">
        <v>271</v>
      </c>
      <c r="I596" s="18" t="s">
        <v>238</v>
      </c>
      <c r="J596" s="18"/>
      <c r="K596" s="18"/>
      <c r="L596" s="18"/>
      <c r="M596" s="18"/>
      <c r="N596" s="18"/>
      <c r="O596" s="18" t="s">
        <v>163</v>
      </c>
      <c r="P596" s="18"/>
      <c r="Q596" s="18" t="str">
        <f>IFERROR(MATCH(K596,Niveles!$B$2:$B$10,0),"")</f>
        <v/>
      </c>
    </row>
    <row r="597" spans="1:17" x14ac:dyDescent="0.25">
      <c r="A597" s="18" t="s">
        <v>1519</v>
      </c>
      <c r="B597" s="18">
        <v>1982</v>
      </c>
      <c r="C597" s="18" t="s">
        <v>1500</v>
      </c>
      <c r="D597" s="18" t="s">
        <v>1551</v>
      </c>
      <c r="E597" s="18" t="s">
        <v>1552</v>
      </c>
      <c r="F597" s="18" t="s">
        <v>145</v>
      </c>
      <c r="G597" s="18" t="s">
        <v>1553</v>
      </c>
      <c r="H597" s="18">
        <v>279</v>
      </c>
      <c r="I597" s="18" t="s">
        <v>238</v>
      </c>
      <c r="J597" s="18"/>
      <c r="K597" s="18"/>
      <c r="L597" s="18"/>
      <c r="M597" s="18"/>
      <c r="N597" s="18"/>
      <c r="O597" s="18" t="s">
        <v>163</v>
      </c>
      <c r="P597" s="18"/>
      <c r="Q597" s="18" t="str">
        <f>IFERROR(MATCH(K597,Niveles!$B$2:$B$10,0),"")</f>
        <v/>
      </c>
    </row>
    <row r="598" spans="1:17" x14ac:dyDescent="0.25">
      <c r="A598" s="18" t="s">
        <v>1519</v>
      </c>
      <c r="B598" s="18">
        <v>1982</v>
      </c>
      <c r="C598" s="18" t="s">
        <v>1500</v>
      </c>
      <c r="D598" s="18" t="s">
        <v>1554</v>
      </c>
      <c r="E598" s="18" t="s">
        <v>1555</v>
      </c>
      <c r="F598" s="18" t="s">
        <v>145</v>
      </c>
      <c r="G598" s="18" t="s">
        <v>1316</v>
      </c>
      <c r="H598" s="18">
        <v>283</v>
      </c>
      <c r="I598" s="18" t="s">
        <v>238</v>
      </c>
      <c r="J598" s="18"/>
      <c r="K598" s="18"/>
      <c r="L598" s="18"/>
      <c r="M598" s="18"/>
      <c r="N598" s="18"/>
      <c r="O598" s="18" t="s">
        <v>163</v>
      </c>
      <c r="P598" s="18"/>
      <c r="Q598" s="18" t="str">
        <f>IFERROR(MATCH(K598,Niveles!$B$2:$B$10,0),"")</f>
        <v/>
      </c>
    </row>
    <row r="599" spans="1:17" x14ac:dyDescent="0.25">
      <c r="A599" s="18" t="s">
        <v>1519</v>
      </c>
      <c r="B599" s="18">
        <v>1982</v>
      </c>
      <c r="C599" s="18" t="s">
        <v>1205</v>
      </c>
      <c r="D599" s="18" t="s">
        <v>1556</v>
      </c>
      <c r="E599" s="18" t="s">
        <v>1557</v>
      </c>
      <c r="F599" s="18" t="s">
        <v>145</v>
      </c>
      <c r="G599" s="18" t="s">
        <v>1558</v>
      </c>
      <c r="H599" s="18">
        <v>331</v>
      </c>
      <c r="I599" s="18" t="s">
        <v>238</v>
      </c>
      <c r="J599" s="18"/>
      <c r="K599" s="18"/>
      <c r="L599" s="18"/>
      <c r="M599" s="18"/>
      <c r="N599" s="18"/>
      <c r="O599" s="18" t="s">
        <v>163</v>
      </c>
      <c r="P599" s="18"/>
      <c r="Q599" s="18" t="str">
        <f>IFERROR(MATCH(K599,Niveles!$B$2:$B$10,0),"")</f>
        <v/>
      </c>
    </row>
    <row r="600" spans="1:17" x14ac:dyDescent="0.25">
      <c r="A600" s="18" t="s">
        <v>1519</v>
      </c>
      <c r="B600" s="18">
        <v>1982</v>
      </c>
      <c r="C600" s="18" t="s">
        <v>1205</v>
      </c>
      <c r="D600" s="18" t="s">
        <v>1559</v>
      </c>
      <c r="E600" s="18" t="s">
        <v>1560</v>
      </c>
      <c r="F600" s="18" t="s">
        <v>145</v>
      </c>
      <c r="G600" s="18" t="s">
        <v>477</v>
      </c>
      <c r="H600" s="18">
        <v>337</v>
      </c>
      <c r="I600" s="18" t="s">
        <v>238</v>
      </c>
      <c r="J600" s="18"/>
      <c r="K600" s="18"/>
      <c r="L600" s="18"/>
      <c r="M600" s="18"/>
      <c r="N600" s="18"/>
      <c r="O600" s="18" t="s">
        <v>163</v>
      </c>
      <c r="P600" s="18"/>
      <c r="Q600" s="18" t="str">
        <f>IFERROR(MATCH(K600,Niveles!$B$2:$B$10,0),"")</f>
        <v/>
      </c>
    </row>
    <row r="601" spans="1:17" x14ac:dyDescent="0.25">
      <c r="A601" s="18" t="s">
        <v>1519</v>
      </c>
      <c r="B601" s="18">
        <v>1982</v>
      </c>
      <c r="C601" s="18" t="s">
        <v>1205</v>
      </c>
      <c r="D601" s="18" t="s">
        <v>1561</v>
      </c>
      <c r="E601" s="18" t="s">
        <v>1562</v>
      </c>
      <c r="F601" s="18" t="s">
        <v>145</v>
      </c>
      <c r="G601" s="18" t="s">
        <v>1563</v>
      </c>
      <c r="H601" s="18">
        <v>343</v>
      </c>
      <c r="I601" s="18" t="s">
        <v>238</v>
      </c>
      <c r="J601" s="18"/>
      <c r="K601" s="18"/>
      <c r="L601" s="18"/>
      <c r="M601" s="18"/>
      <c r="N601" s="18"/>
      <c r="O601" s="18" t="s">
        <v>163</v>
      </c>
      <c r="P601" s="18"/>
      <c r="Q601" s="18" t="str">
        <f>IFERROR(MATCH(K601,Niveles!$B$2:$B$10,0),"")</f>
        <v/>
      </c>
    </row>
    <row r="602" spans="1:17" x14ac:dyDescent="0.25">
      <c r="A602" s="18" t="s">
        <v>1519</v>
      </c>
      <c r="B602" s="18">
        <v>1982</v>
      </c>
      <c r="C602" s="18" t="s">
        <v>1205</v>
      </c>
      <c r="D602" s="18" t="s">
        <v>1564</v>
      </c>
      <c r="E602" s="18" t="s">
        <v>1565</v>
      </c>
      <c r="F602" s="18" t="s">
        <v>145</v>
      </c>
      <c r="G602" s="18" t="s">
        <v>1355</v>
      </c>
      <c r="H602" s="18">
        <v>352</v>
      </c>
      <c r="I602" s="18" t="s">
        <v>238</v>
      </c>
      <c r="J602" s="18"/>
      <c r="K602" s="18"/>
      <c r="L602" s="18"/>
      <c r="M602" s="18"/>
      <c r="N602" s="18"/>
      <c r="O602" s="18" t="s">
        <v>163</v>
      </c>
      <c r="P602" s="18"/>
      <c r="Q602" s="18" t="str">
        <f>IFERROR(MATCH(K602,Niveles!$B$2:$B$10,0),"")</f>
        <v/>
      </c>
    </row>
    <row r="603" spans="1:17" x14ac:dyDescent="0.25">
      <c r="A603" s="18" t="s">
        <v>1566</v>
      </c>
      <c r="B603" s="18">
        <v>1982</v>
      </c>
      <c r="C603" s="18" t="s">
        <v>1520</v>
      </c>
      <c r="D603" s="18"/>
      <c r="E603" s="18" t="s">
        <v>1567</v>
      </c>
      <c r="F603" s="18" t="s">
        <v>161</v>
      </c>
      <c r="G603" s="18"/>
      <c r="H603" s="18"/>
      <c r="I603" s="18" t="s">
        <v>284</v>
      </c>
      <c r="J603" s="18"/>
      <c r="K603" s="18"/>
      <c r="L603" s="18"/>
      <c r="M603" s="18"/>
      <c r="N603" s="18"/>
      <c r="O603" s="18" t="s">
        <v>163</v>
      </c>
      <c r="P603" s="18" t="s">
        <v>1568</v>
      </c>
      <c r="Q603" s="18" t="str">
        <f>IFERROR(MATCH(K603,Niveles!$B$2:$B$10,0),"")</f>
        <v/>
      </c>
    </row>
    <row r="604" spans="1:17" x14ac:dyDescent="0.25">
      <c r="A604" s="18" t="s">
        <v>1566</v>
      </c>
      <c r="B604" s="18">
        <v>1982</v>
      </c>
      <c r="C604" s="18" t="s">
        <v>1522</v>
      </c>
      <c r="D604" s="18"/>
      <c r="E604" s="18" t="s">
        <v>1473</v>
      </c>
      <c r="F604" s="18" t="s">
        <v>161</v>
      </c>
      <c r="G604" s="18"/>
      <c r="H604" s="18"/>
      <c r="I604" s="18" t="s">
        <v>284</v>
      </c>
      <c r="J604" s="18"/>
      <c r="K604" s="18"/>
      <c r="L604" s="18"/>
      <c r="M604" s="18"/>
      <c r="N604" s="18"/>
      <c r="O604" s="18" t="s">
        <v>163</v>
      </c>
      <c r="P604" s="18" t="s">
        <v>1569</v>
      </c>
      <c r="Q604" s="18" t="str">
        <f>IFERROR(MATCH(K604,Niveles!$B$2:$B$10,0),"")</f>
        <v/>
      </c>
    </row>
    <row r="605" spans="1:17" x14ac:dyDescent="0.25">
      <c r="A605" s="18" t="s">
        <v>1566</v>
      </c>
      <c r="B605" s="18">
        <v>1982</v>
      </c>
      <c r="C605" s="18" t="s">
        <v>1570</v>
      </c>
      <c r="D605" s="18" t="s">
        <v>139</v>
      </c>
      <c r="E605" s="18" t="s">
        <v>1571</v>
      </c>
      <c r="F605" s="18" t="s">
        <v>145</v>
      </c>
      <c r="G605" s="18" t="s">
        <v>237</v>
      </c>
      <c r="H605" s="18">
        <v>59</v>
      </c>
      <c r="I605" s="18" t="s">
        <v>238</v>
      </c>
      <c r="J605" s="18"/>
      <c r="K605" s="18"/>
      <c r="L605" s="18"/>
      <c r="M605" s="18"/>
      <c r="N605" s="18"/>
      <c r="O605" s="18" t="s">
        <v>163</v>
      </c>
      <c r="P605" s="18"/>
      <c r="Q605" s="18" t="str">
        <f>IFERROR(MATCH(K605,Niveles!$B$2:$B$10,0),"")</f>
        <v/>
      </c>
    </row>
    <row r="606" spans="1:17" x14ac:dyDescent="0.25">
      <c r="A606" s="18" t="s">
        <v>1566</v>
      </c>
      <c r="B606" s="18">
        <v>1982</v>
      </c>
      <c r="C606" s="18" t="s">
        <v>1570</v>
      </c>
      <c r="D606" s="18" t="s">
        <v>1572</v>
      </c>
      <c r="E606" s="18" t="s">
        <v>1573</v>
      </c>
      <c r="F606" s="18" t="s">
        <v>145</v>
      </c>
      <c r="G606" s="18" t="s">
        <v>113</v>
      </c>
      <c r="H606" s="18">
        <v>62</v>
      </c>
      <c r="I606" s="18" t="s">
        <v>238</v>
      </c>
      <c r="J606" s="18"/>
      <c r="K606" s="18"/>
      <c r="L606" s="18"/>
      <c r="M606" s="18"/>
      <c r="N606" s="18"/>
      <c r="O606" s="18" t="s">
        <v>163</v>
      </c>
      <c r="P606" s="18"/>
      <c r="Q606" s="18" t="str">
        <f>IFERROR(MATCH(K606,Niveles!$B$2:$B$10,0),"")</f>
        <v/>
      </c>
    </row>
    <row r="607" spans="1:17" x14ac:dyDescent="0.25">
      <c r="A607" s="18" t="s">
        <v>1566</v>
      </c>
      <c r="B607" s="18">
        <v>1982</v>
      </c>
      <c r="C607" s="18" t="s">
        <v>1570</v>
      </c>
      <c r="D607" s="18" t="s">
        <v>141</v>
      </c>
      <c r="E607" s="18" t="s">
        <v>1574</v>
      </c>
      <c r="F607" s="18" t="s">
        <v>145</v>
      </c>
      <c r="G607" s="18" t="s">
        <v>114</v>
      </c>
      <c r="H607" s="18">
        <v>63</v>
      </c>
      <c r="I607" s="18" t="s">
        <v>238</v>
      </c>
      <c r="J607" s="18"/>
      <c r="K607" s="18"/>
      <c r="L607" s="18"/>
      <c r="M607" s="18"/>
      <c r="N607" s="18"/>
      <c r="O607" s="18" t="s">
        <v>163</v>
      </c>
      <c r="P607" s="18"/>
      <c r="Q607" s="18" t="str">
        <f>IFERROR(MATCH(K607,Niveles!$B$2:$B$10,0),"")</f>
        <v/>
      </c>
    </row>
    <row r="608" spans="1:17" x14ac:dyDescent="0.25">
      <c r="A608" s="18" t="s">
        <v>1566</v>
      </c>
      <c r="B608" s="18">
        <v>1982</v>
      </c>
      <c r="C608" s="18" t="s">
        <v>1570</v>
      </c>
      <c r="D608" s="18" t="s">
        <v>141</v>
      </c>
      <c r="E608" s="18" t="s">
        <v>1575</v>
      </c>
      <c r="F608" s="18" t="s">
        <v>145</v>
      </c>
      <c r="G608" s="18" t="s">
        <v>880</v>
      </c>
      <c r="H608" s="18">
        <v>69</v>
      </c>
      <c r="I608" s="18" t="s">
        <v>238</v>
      </c>
      <c r="J608" s="18"/>
      <c r="K608" s="18"/>
      <c r="L608" s="18"/>
      <c r="M608" s="18"/>
      <c r="N608" s="18"/>
      <c r="O608" s="18" t="s">
        <v>163</v>
      </c>
      <c r="P608" s="18"/>
      <c r="Q608" s="18" t="str">
        <f>IFERROR(MATCH(K608,Niveles!$B$2:$B$10,0),"")</f>
        <v/>
      </c>
    </row>
    <row r="609" spans="1:17" x14ac:dyDescent="0.25">
      <c r="A609" s="18" t="s">
        <v>1566</v>
      </c>
      <c r="B609" s="18">
        <v>1982</v>
      </c>
      <c r="C609" s="18" t="s">
        <v>1570</v>
      </c>
      <c r="D609" s="18" t="s">
        <v>1481</v>
      </c>
      <c r="E609" s="18" t="s">
        <v>1576</v>
      </c>
      <c r="F609" s="18" t="s">
        <v>145</v>
      </c>
      <c r="G609" s="18" t="s">
        <v>247</v>
      </c>
      <c r="H609" s="18">
        <v>75</v>
      </c>
      <c r="I609" s="18" t="s">
        <v>238</v>
      </c>
      <c r="J609" s="18"/>
      <c r="K609" s="18"/>
      <c r="L609" s="18"/>
      <c r="M609" s="18"/>
      <c r="N609" s="18"/>
      <c r="O609" s="18" t="s">
        <v>163</v>
      </c>
      <c r="P609" s="18"/>
      <c r="Q609" s="18" t="str">
        <f>IFERROR(MATCH(K609,Niveles!$B$2:$B$10,0),"")</f>
        <v/>
      </c>
    </row>
    <row r="610" spans="1:17" x14ac:dyDescent="0.25">
      <c r="A610" s="18" t="s">
        <v>1566</v>
      </c>
      <c r="B610" s="18">
        <v>1982</v>
      </c>
      <c r="C610" s="18" t="s">
        <v>1570</v>
      </c>
      <c r="D610" s="18" t="s">
        <v>1481</v>
      </c>
      <c r="E610" s="18" t="s">
        <v>1577</v>
      </c>
      <c r="F610" s="18" t="s">
        <v>145</v>
      </c>
      <c r="G610" s="18" t="s">
        <v>1020</v>
      </c>
      <c r="H610" s="18">
        <v>76</v>
      </c>
      <c r="I610" s="18" t="s">
        <v>238</v>
      </c>
      <c r="J610" s="18"/>
      <c r="K610" s="18"/>
      <c r="L610" s="18"/>
      <c r="M610" s="18"/>
      <c r="N610" s="18"/>
      <c r="O610" s="18" t="s">
        <v>163</v>
      </c>
      <c r="P610" s="18"/>
      <c r="Q610" s="18" t="str">
        <f>IFERROR(MATCH(K610,Niveles!$B$2:$B$10,0),"")</f>
        <v/>
      </c>
    </row>
    <row r="611" spans="1:17" x14ac:dyDescent="0.25">
      <c r="A611" s="18" t="s">
        <v>1566</v>
      </c>
      <c r="B611" s="18">
        <v>1982</v>
      </c>
      <c r="C611" s="18" t="s">
        <v>1570</v>
      </c>
      <c r="D611" s="18" t="s">
        <v>1578</v>
      </c>
      <c r="E611" s="18" t="s">
        <v>1579</v>
      </c>
      <c r="F611" s="18" t="s">
        <v>145</v>
      </c>
      <c r="G611" s="18" t="s">
        <v>1023</v>
      </c>
      <c r="H611" s="18">
        <v>77</v>
      </c>
      <c r="I611" s="18" t="s">
        <v>238</v>
      </c>
      <c r="J611" s="18"/>
      <c r="K611" s="18"/>
      <c r="L611" s="18"/>
      <c r="M611" s="18"/>
      <c r="N611" s="18"/>
      <c r="O611" s="18" t="s">
        <v>163</v>
      </c>
      <c r="P611" s="18"/>
      <c r="Q611" s="18" t="str">
        <f>IFERROR(MATCH(K611,Niveles!$B$2:$B$10,0),"")</f>
        <v/>
      </c>
    </row>
    <row r="612" spans="1:17" x14ac:dyDescent="0.25">
      <c r="A612" s="18" t="s">
        <v>1566</v>
      </c>
      <c r="B612" s="18">
        <v>1982</v>
      </c>
      <c r="C612" s="18" t="s">
        <v>1570</v>
      </c>
      <c r="D612" s="18" t="s">
        <v>1578</v>
      </c>
      <c r="E612" s="18" t="s">
        <v>1580</v>
      </c>
      <c r="F612" s="18" t="s">
        <v>145</v>
      </c>
      <c r="G612" s="18" t="s">
        <v>1031</v>
      </c>
      <c r="H612" s="18">
        <v>80</v>
      </c>
      <c r="I612" s="18" t="s">
        <v>162</v>
      </c>
      <c r="J612" s="18"/>
      <c r="K612" s="18"/>
      <c r="L612" s="18"/>
      <c r="M612" s="18"/>
      <c r="N612" s="18"/>
      <c r="O612" s="18" t="s">
        <v>163</v>
      </c>
      <c r="P612" s="18"/>
      <c r="Q612" s="18" t="str">
        <f>IFERROR(MATCH(K612,Niveles!$B$2:$B$10,0),"")</f>
        <v/>
      </c>
    </row>
    <row r="613" spans="1:17" x14ac:dyDescent="0.25">
      <c r="A613" s="18" t="s">
        <v>1566</v>
      </c>
      <c r="B613" s="18">
        <v>1982</v>
      </c>
      <c r="C613" s="18" t="s">
        <v>1570</v>
      </c>
      <c r="D613" s="18" t="s">
        <v>1581</v>
      </c>
      <c r="E613" s="18" t="s">
        <v>1582</v>
      </c>
      <c r="F613" s="18" t="s">
        <v>145</v>
      </c>
      <c r="G613" s="18" t="s">
        <v>1036</v>
      </c>
      <c r="H613" s="18">
        <v>83</v>
      </c>
      <c r="I613" s="18" t="s">
        <v>238</v>
      </c>
      <c r="J613" s="18"/>
      <c r="K613" s="18"/>
      <c r="L613" s="18"/>
      <c r="M613" s="18"/>
      <c r="N613" s="18"/>
      <c r="O613" s="18" t="s">
        <v>163</v>
      </c>
      <c r="P613" s="18"/>
      <c r="Q613" s="18" t="str">
        <f>IFERROR(MATCH(K613,Niveles!$B$2:$B$10,0),"")</f>
        <v/>
      </c>
    </row>
    <row r="614" spans="1:17" x14ac:dyDescent="0.25">
      <c r="A614" s="18" t="s">
        <v>1566</v>
      </c>
      <c r="B614" s="18">
        <v>1982</v>
      </c>
      <c r="C614" s="18" t="s">
        <v>1583</v>
      </c>
      <c r="D614" s="18" t="s">
        <v>1484</v>
      </c>
      <c r="E614" s="18" t="s">
        <v>1584</v>
      </c>
      <c r="F614" s="18" t="s">
        <v>145</v>
      </c>
      <c r="G614" s="18" t="s">
        <v>946</v>
      </c>
      <c r="H614" s="18">
        <v>86</v>
      </c>
      <c r="I614" s="18" t="s">
        <v>238</v>
      </c>
      <c r="J614" s="18"/>
      <c r="K614" s="18"/>
      <c r="L614" s="18"/>
      <c r="M614" s="18"/>
      <c r="N614" s="18"/>
      <c r="O614" s="18" t="s">
        <v>163</v>
      </c>
      <c r="P614" s="18"/>
      <c r="Q614" s="18" t="str">
        <f>IFERROR(MATCH(K614,Niveles!$B$2:$B$10,0),"")</f>
        <v/>
      </c>
    </row>
    <row r="615" spans="1:17" x14ac:dyDescent="0.25">
      <c r="A615" s="18" t="s">
        <v>1566</v>
      </c>
      <c r="B615" s="18">
        <v>1982</v>
      </c>
      <c r="C615" s="18" t="s">
        <v>1583</v>
      </c>
      <c r="D615" s="18" t="s">
        <v>1484</v>
      </c>
      <c r="E615" s="18" t="s">
        <v>1585</v>
      </c>
      <c r="F615" s="18" t="s">
        <v>145</v>
      </c>
      <c r="G615" s="18" t="s">
        <v>1450</v>
      </c>
      <c r="H615" s="18">
        <v>89</v>
      </c>
      <c r="I615" s="18" t="s">
        <v>238</v>
      </c>
      <c r="J615" s="18"/>
      <c r="K615" s="18"/>
      <c r="L615" s="18"/>
      <c r="M615" s="18"/>
      <c r="N615" s="18"/>
      <c r="O615" s="18" t="s">
        <v>163</v>
      </c>
      <c r="P615" s="18"/>
      <c r="Q615" s="18" t="str">
        <f>IFERROR(MATCH(K615,Niveles!$B$2:$B$10,0),"")</f>
        <v/>
      </c>
    </row>
    <row r="616" spans="1:17" x14ac:dyDescent="0.25">
      <c r="A616" s="18" t="s">
        <v>1566</v>
      </c>
      <c r="B616" s="18">
        <v>1982</v>
      </c>
      <c r="C616" s="18" t="s">
        <v>1583</v>
      </c>
      <c r="D616" s="18" t="s">
        <v>1486</v>
      </c>
      <c r="E616" s="18" t="s">
        <v>1586</v>
      </c>
      <c r="F616" s="18" t="s">
        <v>145</v>
      </c>
      <c r="G616" s="18" t="s">
        <v>948</v>
      </c>
      <c r="H616" s="18">
        <v>92</v>
      </c>
      <c r="I616" s="18" t="s">
        <v>162</v>
      </c>
      <c r="J616" s="18"/>
      <c r="K616" s="18"/>
      <c r="L616" s="18"/>
      <c r="M616" s="18"/>
      <c r="N616" s="18"/>
      <c r="O616" s="18" t="s">
        <v>163</v>
      </c>
      <c r="P616" s="18"/>
      <c r="Q616" s="18" t="str">
        <f>IFERROR(MATCH(K616,Niveles!$B$2:$B$10,0),"")</f>
        <v/>
      </c>
    </row>
    <row r="617" spans="1:17" x14ac:dyDescent="0.25">
      <c r="A617" s="18" t="s">
        <v>1566</v>
      </c>
      <c r="B617" s="18">
        <v>1982</v>
      </c>
      <c r="C617" s="18" t="s">
        <v>1583</v>
      </c>
      <c r="D617" s="18" t="s">
        <v>1587</v>
      </c>
      <c r="E617" s="18" t="s">
        <v>1588</v>
      </c>
      <c r="F617" s="18" t="s">
        <v>145</v>
      </c>
      <c r="G617" s="18" t="s">
        <v>950</v>
      </c>
      <c r="H617" s="18">
        <v>93</v>
      </c>
      <c r="I617" s="18" t="s">
        <v>238</v>
      </c>
      <c r="J617" s="18"/>
      <c r="K617" s="18"/>
      <c r="L617" s="18"/>
      <c r="M617" s="18"/>
      <c r="N617" s="18"/>
      <c r="O617" s="18" t="s">
        <v>163</v>
      </c>
      <c r="P617" s="18"/>
      <c r="Q617" s="18" t="str">
        <f>IFERROR(MATCH(K617,Niveles!$B$2:$B$10,0),"")</f>
        <v/>
      </c>
    </row>
    <row r="618" spans="1:17" x14ac:dyDescent="0.25">
      <c r="A618" s="18" t="s">
        <v>1566</v>
      </c>
      <c r="B618" s="18">
        <v>1982</v>
      </c>
      <c r="C618" s="18" t="s">
        <v>1583</v>
      </c>
      <c r="D618" s="18" t="s">
        <v>1587</v>
      </c>
      <c r="E618" s="18" t="s">
        <v>1589</v>
      </c>
      <c r="F618" s="18" t="s">
        <v>145</v>
      </c>
      <c r="G618" s="18" t="s">
        <v>858</v>
      </c>
      <c r="H618" s="18">
        <v>96</v>
      </c>
      <c r="I618" s="18" t="s">
        <v>238</v>
      </c>
      <c r="J618" s="18"/>
      <c r="K618" s="18"/>
      <c r="L618" s="18"/>
      <c r="M618" s="18"/>
      <c r="N618" s="18"/>
      <c r="O618" s="18" t="s">
        <v>163</v>
      </c>
      <c r="P618" s="18"/>
      <c r="Q618" s="18" t="str">
        <f>IFERROR(MATCH(K618,Niveles!$B$2:$B$10,0),"")</f>
        <v/>
      </c>
    </row>
    <row r="619" spans="1:17" x14ac:dyDescent="0.25">
      <c r="A619" s="18" t="s">
        <v>1566</v>
      </c>
      <c r="B619" s="18">
        <v>1982</v>
      </c>
      <c r="C619" s="18" t="s">
        <v>1583</v>
      </c>
      <c r="D619" s="18" t="s">
        <v>1488</v>
      </c>
      <c r="E619" s="18" t="s">
        <v>1590</v>
      </c>
      <c r="F619" s="18" t="s">
        <v>145</v>
      </c>
      <c r="G619" s="18" t="s">
        <v>961</v>
      </c>
      <c r="H619" s="18">
        <v>99</v>
      </c>
      <c r="I619" s="18" t="s">
        <v>238</v>
      </c>
      <c r="J619" s="18"/>
      <c r="K619" s="18"/>
      <c r="L619" s="18"/>
      <c r="M619" s="18"/>
      <c r="N619" s="18"/>
      <c r="O619" s="18" t="s">
        <v>163</v>
      </c>
      <c r="P619" s="18"/>
      <c r="Q619" s="18" t="str">
        <f>IFERROR(MATCH(K619,Niveles!$B$2:$B$10,0),"")</f>
        <v/>
      </c>
    </row>
    <row r="620" spans="1:17" x14ac:dyDescent="0.25">
      <c r="A620" s="18" t="s">
        <v>1566</v>
      </c>
      <c r="B620" s="18">
        <v>1982</v>
      </c>
      <c r="C620" s="18" t="s">
        <v>1583</v>
      </c>
      <c r="D620" s="18" t="s">
        <v>1591</v>
      </c>
      <c r="E620" s="18" t="s">
        <v>1592</v>
      </c>
      <c r="F620" s="18" t="s">
        <v>145</v>
      </c>
      <c r="G620" s="18" t="s">
        <v>967</v>
      </c>
      <c r="H620" s="18">
        <v>100</v>
      </c>
      <c r="I620" s="18" t="s">
        <v>238</v>
      </c>
      <c r="J620" s="18"/>
      <c r="K620" s="18"/>
      <c r="L620" s="18"/>
      <c r="M620" s="18"/>
      <c r="N620" s="18"/>
      <c r="O620" s="18" t="s">
        <v>163</v>
      </c>
      <c r="P620" s="18"/>
      <c r="Q620" s="18" t="str">
        <f>IFERROR(MATCH(K620,Niveles!$B$2:$B$10,0),"")</f>
        <v/>
      </c>
    </row>
    <row r="621" spans="1:17" x14ac:dyDescent="0.25">
      <c r="A621" s="18" t="s">
        <v>1566</v>
      </c>
      <c r="B621" s="18">
        <v>1982</v>
      </c>
      <c r="C621" s="18" t="s">
        <v>1583</v>
      </c>
      <c r="D621" s="18" t="s">
        <v>1591</v>
      </c>
      <c r="E621" s="18" t="s">
        <v>1593</v>
      </c>
      <c r="F621" s="18" t="s">
        <v>145</v>
      </c>
      <c r="G621" s="18" t="s">
        <v>461</v>
      </c>
      <c r="H621" s="18">
        <v>102</v>
      </c>
      <c r="I621" s="18" t="s">
        <v>238</v>
      </c>
      <c r="J621" s="18"/>
      <c r="K621" s="18"/>
      <c r="L621" s="18"/>
      <c r="M621" s="18"/>
      <c r="N621" s="18"/>
      <c r="O621" s="18" t="s">
        <v>163</v>
      </c>
      <c r="P621" s="18"/>
      <c r="Q621" s="18" t="str">
        <f>IFERROR(MATCH(K621,Niveles!$B$2:$B$10,0),"")</f>
        <v/>
      </c>
    </row>
    <row r="622" spans="1:17" x14ac:dyDescent="0.25">
      <c r="A622" s="18" t="s">
        <v>1566</v>
      </c>
      <c r="B622" s="18">
        <v>1982</v>
      </c>
      <c r="C622" s="18" t="s">
        <v>1583</v>
      </c>
      <c r="D622" s="18" t="s">
        <v>1594</v>
      </c>
      <c r="E622" s="18" t="s">
        <v>1595</v>
      </c>
      <c r="F622" s="18" t="s">
        <v>145</v>
      </c>
      <c r="G622" s="18" t="s">
        <v>867</v>
      </c>
      <c r="H622" s="18">
        <v>104</v>
      </c>
      <c r="I622" s="18" t="s">
        <v>238</v>
      </c>
      <c r="J622" s="18"/>
      <c r="K622" s="18"/>
      <c r="L622" s="18"/>
      <c r="M622" s="18"/>
      <c r="N622" s="18"/>
      <c r="O622" s="18" t="s">
        <v>163</v>
      </c>
      <c r="P622" s="18"/>
      <c r="Q622" s="18" t="str">
        <f>IFERROR(MATCH(K622,Niveles!$B$2:$B$10,0),"")</f>
        <v/>
      </c>
    </row>
    <row r="623" spans="1:17" x14ac:dyDescent="0.25">
      <c r="A623" s="18" t="s">
        <v>1566</v>
      </c>
      <c r="B623" s="18">
        <v>1982</v>
      </c>
      <c r="C623" s="18" t="s">
        <v>1583</v>
      </c>
      <c r="D623" s="18" t="s">
        <v>1594</v>
      </c>
      <c r="E623" s="18" t="s">
        <v>1596</v>
      </c>
      <c r="F623" s="18" t="s">
        <v>145</v>
      </c>
      <c r="G623" s="18" t="s">
        <v>1107</v>
      </c>
      <c r="H623" s="18">
        <v>122</v>
      </c>
      <c r="I623" s="18" t="s">
        <v>238</v>
      </c>
      <c r="J623" s="18"/>
      <c r="K623" s="18"/>
      <c r="L623" s="18"/>
      <c r="M623" s="18"/>
      <c r="N623" s="18"/>
      <c r="O623" s="18" t="s">
        <v>163</v>
      </c>
      <c r="P623" s="18"/>
      <c r="Q623" s="18" t="str">
        <f>IFERROR(MATCH(K623,Niveles!$B$2:$B$10,0),"")</f>
        <v/>
      </c>
    </row>
    <row r="624" spans="1:17" x14ac:dyDescent="0.25">
      <c r="A624" s="18" t="s">
        <v>1566</v>
      </c>
      <c r="B624" s="18">
        <v>1982</v>
      </c>
      <c r="C624" s="18" t="s">
        <v>1583</v>
      </c>
      <c r="D624" s="18" t="s">
        <v>1490</v>
      </c>
      <c r="E624" s="18" t="s">
        <v>1597</v>
      </c>
      <c r="F624" s="18" t="s">
        <v>145</v>
      </c>
      <c r="G624" s="18" t="s">
        <v>591</v>
      </c>
      <c r="H624" s="18">
        <v>140</v>
      </c>
      <c r="I624" s="18" t="s">
        <v>238</v>
      </c>
      <c r="J624" s="18"/>
      <c r="K624" s="18"/>
      <c r="L624" s="18"/>
      <c r="M624" s="18"/>
      <c r="N624" s="18"/>
      <c r="O624" s="18" t="s">
        <v>163</v>
      </c>
      <c r="P624" s="18"/>
      <c r="Q624" s="18" t="str">
        <f>IFERROR(MATCH(K624,Niveles!$B$2:$B$10,0),"")</f>
        <v/>
      </c>
    </row>
    <row r="625" spans="1:17" x14ac:dyDescent="0.25">
      <c r="A625" s="18" t="s">
        <v>1566</v>
      </c>
      <c r="B625" s="18">
        <v>1982</v>
      </c>
      <c r="C625" s="18" t="s">
        <v>1583</v>
      </c>
      <c r="D625" s="18" t="s">
        <v>1598</v>
      </c>
      <c r="E625" s="18" t="s">
        <v>1599</v>
      </c>
      <c r="F625" s="18" t="s">
        <v>145</v>
      </c>
      <c r="G625" s="18" t="s">
        <v>1600</v>
      </c>
      <c r="H625" s="18">
        <v>152</v>
      </c>
      <c r="I625" s="18" t="s">
        <v>162</v>
      </c>
      <c r="J625" s="18"/>
      <c r="K625" s="18"/>
      <c r="L625" s="18"/>
      <c r="M625" s="18"/>
      <c r="N625" s="18"/>
      <c r="O625" s="18" t="s">
        <v>163</v>
      </c>
      <c r="P625" s="18"/>
      <c r="Q625" s="18" t="str">
        <f>IFERROR(MATCH(K625,Niveles!$B$2:$B$10,0),"")</f>
        <v/>
      </c>
    </row>
    <row r="626" spans="1:17" x14ac:dyDescent="0.25">
      <c r="A626" s="18" t="s">
        <v>1566</v>
      </c>
      <c r="B626" s="18">
        <v>1982</v>
      </c>
      <c r="C626" s="18" t="s">
        <v>1583</v>
      </c>
      <c r="D626" s="18" t="s">
        <v>1601</v>
      </c>
      <c r="E626" s="18" t="s">
        <v>1602</v>
      </c>
      <c r="F626" s="18" t="s">
        <v>145</v>
      </c>
      <c r="G626" s="18" t="s">
        <v>1214</v>
      </c>
      <c r="H626" s="18">
        <v>170</v>
      </c>
      <c r="I626" s="18" t="s">
        <v>238</v>
      </c>
      <c r="J626" s="18"/>
      <c r="K626" s="18"/>
      <c r="L626" s="18"/>
      <c r="M626" s="18"/>
      <c r="N626" s="18"/>
      <c r="O626" s="18" t="s">
        <v>163</v>
      </c>
      <c r="P626" s="18"/>
      <c r="Q626" s="18" t="str">
        <f>IFERROR(MATCH(K626,Niveles!$B$2:$B$10,0),"")</f>
        <v/>
      </c>
    </row>
    <row r="627" spans="1:17" x14ac:dyDescent="0.25">
      <c r="A627" s="18" t="s">
        <v>1566</v>
      </c>
      <c r="B627" s="18">
        <v>1982</v>
      </c>
      <c r="C627" s="18" t="s">
        <v>1583</v>
      </c>
      <c r="D627" s="18" t="s">
        <v>1601</v>
      </c>
      <c r="E627" s="18" t="s">
        <v>1603</v>
      </c>
      <c r="F627" s="18" t="s">
        <v>145</v>
      </c>
      <c r="G627" s="18" t="s">
        <v>920</v>
      </c>
      <c r="H627" s="18">
        <v>172</v>
      </c>
      <c r="I627" s="18" t="s">
        <v>238</v>
      </c>
      <c r="J627" s="18"/>
      <c r="K627" s="18"/>
      <c r="L627" s="18"/>
      <c r="M627" s="18"/>
      <c r="N627" s="18"/>
      <c r="O627" s="18" t="s">
        <v>163</v>
      </c>
      <c r="P627" s="18"/>
      <c r="Q627" s="18" t="str">
        <f>IFERROR(MATCH(K627,Niveles!$B$2:$B$10,0),"")</f>
        <v/>
      </c>
    </row>
    <row r="628" spans="1:17" x14ac:dyDescent="0.25">
      <c r="A628" s="18" t="s">
        <v>1566</v>
      </c>
      <c r="B628" s="18">
        <v>1982</v>
      </c>
      <c r="C628" s="18" t="s">
        <v>1583</v>
      </c>
      <c r="D628" s="18" t="s">
        <v>1604</v>
      </c>
      <c r="E628" s="18" t="s">
        <v>1605</v>
      </c>
      <c r="F628" s="18" t="s">
        <v>145</v>
      </c>
      <c r="G628" s="18" t="s">
        <v>1217</v>
      </c>
      <c r="H628" s="18">
        <v>174</v>
      </c>
      <c r="I628" s="18" t="s">
        <v>238</v>
      </c>
      <c r="J628" s="18"/>
      <c r="K628" s="18"/>
      <c r="L628" s="18"/>
      <c r="M628" s="18"/>
      <c r="N628" s="18"/>
      <c r="O628" s="18" t="s">
        <v>163</v>
      </c>
      <c r="P628" s="18"/>
      <c r="Q628" s="18" t="str">
        <f>IFERROR(MATCH(K628,Niveles!$B$2:$B$10,0),"")</f>
        <v/>
      </c>
    </row>
    <row r="629" spans="1:17" x14ac:dyDescent="0.25">
      <c r="A629" s="18" t="s">
        <v>1566</v>
      </c>
      <c r="B629" s="18">
        <v>1982</v>
      </c>
      <c r="C629" s="18" t="s">
        <v>1606</v>
      </c>
      <c r="D629" s="18" t="s">
        <v>1607</v>
      </c>
      <c r="E629" s="18" t="s">
        <v>1608</v>
      </c>
      <c r="F629" s="18" t="s">
        <v>145</v>
      </c>
      <c r="G629" s="18" t="s">
        <v>1609</v>
      </c>
      <c r="H629" s="18">
        <v>178</v>
      </c>
      <c r="I629" s="18" t="s">
        <v>238</v>
      </c>
      <c r="J629" s="18"/>
      <c r="K629" s="18"/>
      <c r="L629" s="18"/>
      <c r="M629" s="18"/>
      <c r="N629" s="18"/>
      <c r="O629" s="18" t="s">
        <v>163</v>
      </c>
      <c r="P629" s="18"/>
      <c r="Q629" s="18" t="str">
        <f>IFERROR(MATCH(K629,Niveles!$B$2:$B$10,0),"")</f>
        <v/>
      </c>
    </row>
    <row r="630" spans="1:17" x14ac:dyDescent="0.25">
      <c r="A630" s="18" t="s">
        <v>1566</v>
      </c>
      <c r="B630" s="18">
        <v>1982</v>
      </c>
      <c r="C630" s="18" t="s">
        <v>1606</v>
      </c>
      <c r="D630" s="18" t="s">
        <v>1497</v>
      </c>
      <c r="E630" s="18" t="s">
        <v>1610</v>
      </c>
      <c r="F630" s="18" t="s">
        <v>145</v>
      </c>
      <c r="G630" s="18" t="s">
        <v>1124</v>
      </c>
      <c r="H630" s="18">
        <v>183</v>
      </c>
      <c r="I630" s="18" t="s">
        <v>238</v>
      </c>
      <c r="J630" s="18"/>
      <c r="K630" s="18"/>
      <c r="L630" s="18"/>
      <c r="M630" s="18"/>
      <c r="N630" s="18"/>
      <c r="O630" s="18" t="s">
        <v>163</v>
      </c>
      <c r="P630" s="18"/>
      <c r="Q630" s="18" t="str">
        <f>IFERROR(MATCH(K630,Niveles!$B$2:$B$10,0),"")</f>
        <v/>
      </c>
    </row>
    <row r="631" spans="1:17" x14ac:dyDescent="0.25">
      <c r="A631" s="18" t="s">
        <v>1566</v>
      </c>
      <c r="B631" s="18">
        <v>1982</v>
      </c>
      <c r="C631" s="18" t="s">
        <v>1606</v>
      </c>
      <c r="D631" s="18" t="s">
        <v>1611</v>
      </c>
      <c r="E631" s="18" t="s">
        <v>1608</v>
      </c>
      <c r="F631" s="18" t="s">
        <v>145</v>
      </c>
      <c r="G631" s="18" t="s">
        <v>1005</v>
      </c>
      <c r="H631" s="18">
        <v>219</v>
      </c>
      <c r="I631" s="18" t="s">
        <v>238</v>
      </c>
      <c r="J631" s="18"/>
      <c r="K631" s="18"/>
      <c r="L631" s="18"/>
      <c r="M631" s="18"/>
      <c r="N631" s="18"/>
      <c r="O631" s="18" t="s">
        <v>163</v>
      </c>
      <c r="P631" s="18"/>
      <c r="Q631" s="18" t="str">
        <f>IFERROR(MATCH(K631,Niveles!$B$2:$B$10,0),"")</f>
        <v/>
      </c>
    </row>
    <row r="632" spans="1:17" x14ac:dyDescent="0.25">
      <c r="A632" s="18" t="s">
        <v>1566</v>
      </c>
      <c r="B632" s="18">
        <v>1982</v>
      </c>
      <c r="C632" s="18" t="s">
        <v>1606</v>
      </c>
      <c r="D632" s="18" t="s">
        <v>1612</v>
      </c>
      <c r="E632" s="18" t="s">
        <v>1613</v>
      </c>
      <c r="F632" s="18" t="s">
        <v>145</v>
      </c>
      <c r="G632" s="18" t="s">
        <v>1128</v>
      </c>
      <c r="H632" s="18">
        <v>222</v>
      </c>
      <c r="I632" s="18" t="s">
        <v>238</v>
      </c>
      <c r="J632" s="18"/>
      <c r="K632" s="18"/>
      <c r="L632" s="18"/>
      <c r="M632" s="18"/>
      <c r="N632" s="18"/>
      <c r="O632" s="18" t="s">
        <v>163</v>
      </c>
      <c r="P632" s="18"/>
      <c r="Q632" s="18" t="str">
        <f>IFERROR(MATCH(K632,Niveles!$B$2:$B$10,0),"")</f>
        <v/>
      </c>
    </row>
    <row r="633" spans="1:17" x14ac:dyDescent="0.25">
      <c r="A633" s="18" t="s">
        <v>1566</v>
      </c>
      <c r="B633" s="18">
        <v>1982</v>
      </c>
      <c r="C633" s="18" t="s">
        <v>1606</v>
      </c>
      <c r="D633" s="18" t="s">
        <v>1614</v>
      </c>
      <c r="E633" s="18" t="s">
        <v>1615</v>
      </c>
      <c r="F633" s="18" t="s">
        <v>145</v>
      </c>
      <c r="G633" s="18" t="s">
        <v>1616</v>
      </c>
      <c r="H633" s="18">
        <v>231</v>
      </c>
      <c r="I633" s="18" t="s">
        <v>238</v>
      </c>
      <c r="J633" s="18"/>
      <c r="K633" s="18"/>
      <c r="L633" s="18"/>
      <c r="M633" s="18"/>
      <c r="N633" s="18"/>
      <c r="O633" s="18" t="s">
        <v>163</v>
      </c>
      <c r="P633" s="18"/>
      <c r="Q633" s="18" t="str">
        <f>IFERROR(MATCH(K633,Niveles!$B$2:$B$10,0),"")</f>
        <v/>
      </c>
    </row>
    <row r="634" spans="1:17" x14ac:dyDescent="0.25">
      <c r="A634" s="18" t="s">
        <v>1566</v>
      </c>
      <c r="B634" s="18">
        <v>1982</v>
      </c>
      <c r="C634" s="18" t="s">
        <v>1606</v>
      </c>
      <c r="D634" s="18" t="s">
        <v>1617</v>
      </c>
      <c r="E634" s="18" t="s">
        <v>1618</v>
      </c>
      <c r="F634" s="18" t="s">
        <v>145</v>
      </c>
      <c r="G634" s="18" t="s">
        <v>1008</v>
      </c>
      <c r="H634" s="18">
        <v>232</v>
      </c>
      <c r="I634" s="18" t="s">
        <v>238</v>
      </c>
      <c r="J634" s="18"/>
      <c r="K634" s="18"/>
      <c r="L634" s="18"/>
      <c r="M634" s="18"/>
      <c r="N634" s="18"/>
      <c r="O634" s="18" t="s">
        <v>163</v>
      </c>
      <c r="P634" s="18"/>
      <c r="Q634" s="18" t="str">
        <f>IFERROR(MATCH(K634,Niveles!$B$2:$B$10,0),"")</f>
        <v/>
      </c>
    </row>
    <row r="635" spans="1:17" x14ac:dyDescent="0.25">
      <c r="A635" s="18" t="s">
        <v>1566</v>
      </c>
      <c r="B635" s="18">
        <v>1982</v>
      </c>
      <c r="C635" s="18" t="s">
        <v>1606</v>
      </c>
      <c r="D635" s="18" t="s">
        <v>1619</v>
      </c>
      <c r="E635" s="18" t="s">
        <v>1620</v>
      </c>
      <c r="F635" s="18" t="s">
        <v>145</v>
      </c>
      <c r="G635" s="18" t="s">
        <v>401</v>
      </c>
      <c r="H635" s="18">
        <v>250</v>
      </c>
      <c r="I635" s="18" t="s">
        <v>238</v>
      </c>
      <c r="J635" s="18"/>
      <c r="K635" s="18"/>
      <c r="L635" s="18"/>
      <c r="M635" s="18"/>
      <c r="N635" s="18"/>
      <c r="O635" s="18" t="s">
        <v>163</v>
      </c>
      <c r="P635" s="18"/>
      <c r="Q635" s="18" t="str">
        <f>IFERROR(MATCH(K635,Niveles!$B$2:$B$10,0),"")</f>
        <v/>
      </c>
    </row>
    <row r="636" spans="1:17" x14ac:dyDescent="0.25">
      <c r="A636" s="18" t="s">
        <v>1566</v>
      </c>
      <c r="B636" s="18">
        <v>1982</v>
      </c>
      <c r="C636" s="18" t="s">
        <v>1606</v>
      </c>
      <c r="D636" s="18" t="s">
        <v>1621</v>
      </c>
      <c r="E636" s="18" t="s">
        <v>1622</v>
      </c>
      <c r="F636" s="18" t="s">
        <v>145</v>
      </c>
      <c r="G636" s="18" t="s">
        <v>1623</v>
      </c>
      <c r="H636" s="18">
        <v>259</v>
      </c>
      <c r="I636" s="18" t="s">
        <v>238</v>
      </c>
      <c r="J636" s="18"/>
      <c r="K636" s="18"/>
      <c r="L636" s="18"/>
      <c r="M636" s="18"/>
      <c r="N636" s="18"/>
      <c r="O636" s="18" t="s">
        <v>163</v>
      </c>
      <c r="P636" s="18"/>
      <c r="Q636" s="18" t="str">
        <f>IFERROR(MATCH(K636,Niveles!$B$2:$B$10,0),"")</f>
        <v/>
      </c>
    </row>
    <row r="637" spans="1:17" x14ac:dyDescent="0.25">
      <c r="A637" s="18" t="s">
        <v>1566</v>
      </c>
      <c r="B637" s="18">
        <v>1982</v>
      </c>
      <c r="C637" s="18" t="s">
        <v>1606</v>
      </c>
      <c r="D637" s="18" t="s">
        <v>1624</v>
      </c>
      <c r="E637" s="18" t="s">
        <v>1625</v>
      </c>
      <c r="F637" s="18" t="s">
        <v>145</v>
      </c>
      <c r="G637" s="18" t="s">
        <v>1503</v>
      </c>
      <c r="H637" s="18">
        <v>283</v>
      </c>
      <c r="I637" s="18" t="s">
        <v>238</v>
      </c>
      <c r="J637" s="18"/>
      <c r="K637" s="18"/>
      <c r="L637" s="18"/>
      <c r="M637" s="18"/>
      <c r="N637" s="18"/>
      <c r="O637" s="18" t="s">
        <v>163</v>
      </c>
      <c r="P637" s="18"/>
      <c r="Q637" s="18" t="str">
        <f>IFERROR(MATCH(K637,Niveles!$B$2:$B$10,0),"")</f>
        <v/>
      </c>
    </row>
    <row r="638" spans="1:17" x14ac:dyDescent="0.25">
      <c r="A638" s="18" t="s">
        <v>1566</v>
      </c>
      <c r="B638" s="18">
        <v>1982</v>
      </c>
      <c r="C638" s="18" t="s">
        <v>1606</v>
      </c>
      <c r="D638" s="18" t="s">
        <v>1626</v>
      </c>
      <c r="E638" s="18" t="s">
        <v>1627</v>
      </c>
      <c r="F638" s="18" t="s">
        <v>145</v>
      </c>
      <c r="G638" s="18" t="s">
        <v>1628</v>
      </c>
      <c r="H638" s="18">
        <v>285</v>
      </c>
      <c r="I638" s="18" t="s">
        <v>238</v>
      </c>
      <c r="J638" s="18"/>
      <c r="K638" s="18"/>
      <c r="L638" s="18"/>
      <c r="M638" s="18"/>
      <c r="N638" s="18"/>
      <c r="O638" s="18" t="s">
        <v>163</v>
      </c>
      <c r="P638" s="18"/>
      <c r="Q638" s="18" t="str">
        <f>IFERROR(MATCH(K638,Niveles!$B$2:$B$10,0),"")</f>
        <v/>
      </c>
    </row>
    <row r="639" spans="1:17" x14ac:dyDescent="0.25">
      <c r="A639" s="18" t="s">
        <v>1566</v>
      </c>
      <c r="B639" s="18">
        <v>1982</v>
      </c>
      <c r="C639" s="18" t="s">
        <v>1606</v>
      </c>
      <c r="D639" s="18" t="s">
        <v>1629</v>
      </c>
      <c r="E639" s="18" t="s">
        <v>1630</v>
      </c>
      <c r="F639" s="18" t="s">
        <v>145</v>
      </c>
      <c r="G639" s="18" t="s">
        <v>784</v>
      </c>
      <c r="H639" s="18">
        <v>287</v>
      </c>
      <c r="I639" s="18" t="s">
        <v>238</v>
      </c>
      <c r="J639" s="18"/>
      <c r="K639" s="18"/>
      <c r="L639" s="18"/>
      <c r="M639" s="18"/>
      <c r="N639" s="18"/>
      <c r="O639" s="18" t="s">
        <v>163</v>
      </c>
      <c r="P639" s="18"/>
      <c r="Q639" s="18" t="str">
        <f>IFERROR(MATCH(K639,Niveles!$B$2:$B$10,0),"")</f>
        <v/>
      </c>
    </row>
    <row r="640" spans="1:17" x14ac:dyDescent="0.25">
      <c r="A640" s="18" t="s">
        <v>1631</v>
      </c>
      <c r="B640" s="18">
        <v>1992</v>
      </c>
      <c r="C640" s="18"/>
      <c r="D640" s="18"/>
      <c r="E640" s="18" t="s">
        <v>757</v>
      </c>
      <c r="F640" s="18" t="s">
        <v>161</v>
      </c>
      <c r="G640" s="18" t="s">
        <v>113</v>
      </c>
      <c r="H640" s="18">
        <v>5</v>
      </c>
      <c r="I640" s="18" t="s">
        <v>162</v>
      </c>
      <c r="J640" s="18"/>
      <c r="K640" s="18"/>
      <c r="L640" s="18"/>
      <c r="M640" s="18"/>
      <c r="N640" s="18"/>
      <c r="O640" s="18" t="s">
        <v>163</v>
      </c>
      <c r="P640" s="18"/>
      <c r="Q640" s="18" t="str">
        <f>IFERROR(MATCH(K640,Niveles!$B$2:$B$10,0),"")</f>
        <v/>
      </c>
    </row>
    <row r="641" spans="1:17" x14ac:dyDescent="0.25">
      <c r="A641" s="18" t="s">
        <v>1631</v>
      </c>
      <c r="B641" s="18">
        <v>1992</v>
      </c>
      <c r="C641" s="18"/>
      <c r="D641" s="18"/>
      <c r="E641" s="18" t="s">
        <v>1632</v>
      </c>
      <c r="F641" s="18" t="s">
        <v>161</v>
      </c>
      <c r="G641" s="18" t="s">
        <v>118</v>
      </c>
      <c r="H641" s="18">
        <v>7</v>
      </c>
      <c r="I641" s="18" t="s">
        <v>162</v>
      </c>
      <c r="J641" s="18"/>
      <c r="K641" s="18"/>
      <c r="L641" s="18"/>
      <c r="M641" s="18"/>
      <c r="N641" s="18"/>
      <c r="O641" s="18" t="s">
        <v>163</v>
      </c>
      <c r="P641" s="18"/>
      <c r="Q641" s="18" t="str">
        <f>IFERROR(MATCH(K641,Niveles!$B$2:$B$10,0),"")</f>
        <v/>
      </c>
    </row>
    <row r="642" spans="1:17" x14ac:dyDescent="0.25">
      <c r="A642" s="18" t="s">
        <v>1631</v>
      </c>
      <c r="B642" s="18">
        <v>1992</v>
      </c>
      <c r="C642" s="18"/>
      <c r="D642" s="18"/>
      <c r="E642" s="18" t="s">
        <v>1633</v>
      </c>
      <c r="F642" s="18" t="s">
        <v>161</v>
      </c>
      <c r="G642" s="18" t="s">
        <v>115</v>
      </c>
      <c r="H642" s="18">
        <v>9</v>
      </c>
      <c r="I642" s="18" t="s">
        <v>162</v>
      </c>
      <c r="J642" s="18"/>
      <c r="K642" s="18"/>
      <c r="L642" s="18"/>
      <c r="M642" s="18"/>
      <c r="N642" s="18"/>
      <c r="O642" s="18" t="s">
        <v>163</v>
      </c>
      <c r="P642" s="18"/>
      <c r="Q642" s="18" t="str">
        <f>IFERROR(MATCH(K642,Niveles!$B$2:$B$10,0),"")</f>
        <v/>
      </c>
    </row>
    <row r="643" spans="1:17" x14ac:dyDescent="0.25">
      <c r="A643" s="18" t="s">
        <v>1631</v>
      </c>
      <c r="B643" s="18">
        <v>1992</v>
      </c>
      <c r="C643" s="18"/>
      <c r="D643" s="18"/>
      <c r="E643" s="18" t="s">
        <v>1634</v>
      </c>
      <c r="F643" s="18" t="s">
        <v>161</v>
      </c>
      <c r="G643" s="18" t="s">
        <v>840</v>
      </c>
      <c r="H643" s="18">
        <v>15</v>
      </c>
      <c r="I643" s="18" t="s">
        <v>162</v>
      </c>
      <c r="J643" s="18"/>
      <c r="K643" s="18"/>
      <c r="L643" s="18"/>
      <c r="M643" s="18"/>
      <c r="N643" s="18"/>
      <c r="O643" s="18" t="s">
        <v>163</v>
      </c>
      <c r="P643" s="18"/>
      <c r="Q643" s="18" t="str">
        <f>IFERROR(MATCH(K643,Niveles!$B$2:$B$10,0),"")</f>
        <v/>
      </c>
    </row>
    <row r="644" spans="1:17" x14ac:dyDescent="0.25">
      <c r="A644" s="18" t="s">
        <v>1631</v>
      </c>
      <c r="B644" s="18">
        <v>1992</v>
      </c>
      <c r="C644" s="18" t="s">
        <v>1635</v>
      </c>
      <c r="D644" s="18" t="s">
        <v>112</v>
      </c>
      <c r="E644" s="18" t="s">
        <v>1636</v>
      </c>
      <c r="F644" s="18" t="s">
        <v>145</v>
      </c>
      <c r="G644" s="18" t="s">
        <v>294</v>
      </c>
      <c r="H644" s="18">
        <v>17</v>
      </c>
      <c r="I644" s="18" t="s">
        <v>162</v>
      </c>
      <c r="J644" s="18"/>
      <c r="K644" s="18"/>
      <c r="L644" s="18"/>
      <c r="M644" s="18"/>
      <c r="N644" s="18"/>
      <c r="O644" s="18" t="s">
        <v>163</v>
      </c>
      <c r="P644" s="18" t="s">
        <v>1637</v>
      </c>
      <c r="Q644" s="18" t="str">
        <f>IFERROR(MATCH(K644,Niveles!$B$2:$B$10,0),"")</f>
        <v/>
      </c>
    </row>
    <row r="645" spans="1:17" x14ac:dyDescent="0.25">
      <c r="A645" s="18" t="s">
        <v>1631</v>
      </c>
      <c r="B645" s="18">
        <v>1992</v>
      </c>
      <c r="C645" s="18" t="s">
        <v>1635</v>
      </c>
      <c r="D645" s="18" t="s">
        <v>237</v>
      </c>
      <c r="E645" s="18" t="s">
        <v>1638</v>
      </c>
      <c r="F645" s="18" t="s">
        <v>145</v>
      </c>
      <c r="G645" s="18"/>
      <c r="H645" s="18"/>
      <c r="I645" s="18" t="s">
        <v>284</v>
      </c>
      <c r="J645" s="18"/>
      <c r="K645" s="18"/>
      <c r="L645" s="18"/>
      <c r="M645" s="18"/>
      <c r="N645" s="18"/>
      <c r="O645" s="18" t="s">
        <v>163</v>
      </c>
      <c r="P645" s="18" t="s">
        <v>1637</v>
      </c>
      <c r="Q645" s="18" t="str">
        <f>IFERROR(MATCH(K645,Niveles!$B$2:$B$10,0),"")</f>
        <v/>
      </c>
    </row>
    <row r="646" spans="1:17" x14ac:dyDescent="0.25">
      <c r="A646" s="18" t="s">
        <v>1631</v>
      </c>
      <c r="B646" s="18">
        <v>1992</v>
      </c>
      <c r="C646" s="18" t="s">
        <v>1639</v>
      </c>
      <c r="D646" s="18" t="s">
        <v>121</v>
      </c>
      <c r="E646" s="18" t="s">
        <v>1640</v>
      </c>
      <c r="F646" s="18" t="s">
        <v>145</v>
      </c>
      <c r="G646" s="18" t="s">
        <v>1204</v>
      </c>
      <c r="H646" s="18">
        <v>59</v>
      </c>
      <c r="I646" s="18" t="s">
        <v>162</v>
      </c>
      <c r="J646" s="18"/>
      <c r="K646" s="18"/>
      <c r="L646" s="18"/>
      <c r="M646" s="18"/>
      <c r="N646" s="18"/>
      <c r="O646" s="18" t="s">
        <v>163</v>
      </c>
      <c r="P646" s="18" t="s">
        <v>1637</v>
      </c>
      <c r="Q646" s="18" t="str">
        <f>IFERROR(MATCH(K646,Niveles!$B$2:$B$10,0),"")</f>
        <v/>
      </c>
    </row>
    <row r="647" spans="1:17" x14ac:dyDescent="0.25">
      <c r="A647" s="18" t="s">
        <v>1631</v>
      </c>
      <c r="B647" s="18">
        <v>1992</v>
      </c>
      <c r="C647" s="18" t="s">
        <v>1639</v>
      </c>
      <c r="D647" s="18" t="s">
        <v>123</v>
      </c>
      <c r="E647" s="18" t="s">
        <v>1641</v>
      </c>
      <c r="F647" s="18" t="s">
        <v>145</v>
      </c>
      <c r="G647" s="18"/>
      <c r="H647" s="18"/>
      <c r="I647" s="18" t="s">
        <v>284</v>
      </c>
      <c r="J647" s="18"/>
      <c r="K647" s="18"/>
      <c r="L647" s="18"/>
      <c r="M647" s="18"/>
      <c r="N647" s="18"/>
      <c r="O647" s="18" t="s">
        <v>163</v>
      </c>
      <c r="P647" s="18" t="s">
        <v>1637</v>
      </c>
      <c r="Q647" s="18" t="str">
        <f>IFERROR(MATCH(K647,Niveles!$B$2:$B$10,0),"")</f>
        <v/>
      </c>
    </row>
    <row r="648" spans="1:17" x14ac:dyDescent="0.25">
      <c r="A648" s="18" t="s">
        <v>1631</v>
      </c>
      <c r="B648" s="18">
        <v>1992</v>
      </c>
      <c r="C648" s="18" t="s">
        <v>1642</v>
      </c>
      <c r="D648" s="18" t="s">
        <v>113</v>
      </c>
      <c r="E648" s="18" t="s">
        <v>1643</v>
      </c>
      <c r="F648" s="18" t="s">
        <v>145</v>
      </c>
      <c r="G648" s="18" t="s">
        <v>259</v>
      </c>
      <c r="H648" s="18">
        <v>173</v>
      </c>
      <c r="I648" s="18" t="s">
        <v>162</v>
      </c>
      <c r="J648" s="18"/>
      <c r="K648" s="18"/>
      <c r="L648" s="18"/>
      <c r="M648" s="18"/>
      <c r="N648" s="18"/>
      <c r="O648" s="18" t="s">
        <v>163</v>
      </c>
      <c r="P648" s="18" t="s">
        <v>1637</v>
      </c>
      <c r="Q648" s="18" t="str">
        <f>IFERROR(MATCH(K648,Niveles!$B$2:$B$10,0),"")</f>
        <v/>
      </c>
    </row>
  </sheetData>
  <autoFilter ref="A1:Q648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baseColWidth="10" defaultColWidth="9.140625" defaultRowHeight="15" x14ac:dyDescent="0.25"/>
  <cols>
    <col min="1" max="1" width="8" customWidth="1"/>
    <col min="2" max="2" width="22" customWidth="1"/>
    <col min="3" max="3" width="16" customWidth="1"/>
  </cols>
  <sheetData>
    <row r="1" spans="1:3" ht="42" customHeight="1" x14ac:dyDescent="0.25">
      <c r="A1" s="3" t="s">
        <v>1644</v>
      </c>
      <c r="B1" s="3" t="s">
        <v>1645</v>
      </c>
      <c r="C1" s="3" t="s">
        <v>1646</v>
      </c>
    </row>
    <row r="2" spans="1:3" x14ac:dyDescent="0.25">
      <c r="A2" s="18">
        <v>1</v>
      </c>
      <c r="B2" s="18" t="s">
        <v>885</v>
      </c>
      <c r="C2" s="18" t="s">
        <v>1647</v>
      </c>
    </row>
    <row r="3" spans="1:3" x14ac:dyDescent="0.25">
      <c r="A3" s="18">
        <v>2</v>
      </c>
      <c r="B3" s="18" t="s">
        <v>103</v>
      </c>
      <c r="C3" s="18" t="s">
        <v>1648</v>
      </c>
    </row>
    <row r="4" spans="1:3" x14ac:dyDescent="0.25">
      <c r="A4" s="18">
        <v>3</v>
      </c>
      <c r="B4" s="18" t="s">
        <v>125</v>
      </c>
      <c r="C4" s="18" t="s">
        <v>1649</v>
      </c>
    </row>
    <row r="5" spans="1:3" x14ac:dyDescent="0.25">
      <c r="A5" s="18">
        <v>4</v>
      </c>
      <c r="B5" s="18" t="s">
        <v>371</v>
      </c>
      <c r="C5" s="18" t="s">
        <v>1650</v>
      </c>
    </row>
    <row r="6" spans="1:3" x14ac:dyDescent="0.25">
      <c r="A6" s="18">
        <v>5</v>
      </c>
      <c r="B6" s="18" t="s">
        <v>99</v>
      </c>
      <c r="C6" s="18" t="s">
        <v>1651</v>
      </c>
    </row>
    <row r="7" spans="1:3" x14ac:dyDescent="0.25">
      <c r="A7" s="18">
        <v>6</v>
      </c>
      <c r="B7" s="18" t="s">
        <v>105</v>
      </c>
      <c r="C7" s="18" t="s">
        <v>1652</v>
      </c>
    </row>
    <row r="8" spans="1:3" x14ac:dyDescent="0.25">
      <c r="A8" s="18">
        <v>7</v>
      </c>
      <c r="B8" s="18" t="s">
        <v>106</v>
      </c>
      <c r="C8" s="18" t="s">
        <v>1653</v>
      </c>
    </row>
    <row r="9" spans="1:3" x14ac:dyDescent="0.25">
      <c r="A9" s="18">
        <v>8</v>
      </c>
      <c r="B9" s="18" t="s">
        <v>140</v>
      </c>
      <c r="C9" s="18" t="s">
        <v>1654</v>
      </c>
    </row>
    <row r="10" spans="1:3" x14ac:dyDescent="0.25">
      <c r="A10" s="18">
        <v>9</v>
      </c>
      <c r="B10" s="18" t="s">
        <v>108</v>
      </c>
      <c r="C10" s="18" t="s">
        <v>1655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1" customWidth="1"/>
    <col min="2" max="2" width="13" customWidth="1"/>
    <col min="3" max="3" width="8" customWidth="1"/>
    <col min="4" max="4" width="60" customWidth="1"/>
    <col min="5" max="5" width="12" customWidth="1"/>
    <col min="6" max="6" width="22" customWidth="1"/>
    <col min="7" max="7" width="30" customWidth="1"/>
    <col min="8" max="10" width="7" customWidth="1"/>
    <col min="11" max="11" width="8" customWidth="1"/>
    <col min="12" max="12" width="10" customWidth="1"/>
    <col min="13" max="13" width="13" customWidth="1"/>
    <col min="14" max="14" width="42" customWidth="1"/>
  </cols>
  <sheetData>
    <row r="1" spans="1:14" ht="42" customHeight="1" x14ac:dyDescent="0.25">
      <c r="A1" s="3" t="s">
        <v>1656</v>
      </c>
      <c r="B1" s="3" t="s">
        <v>89</v>
      </c>
      <c r="C1" s="3" t="s">
        <v>90</v>
      </c>
      <c r="D1" s="3" t="s">
        <v>1657</v>
      </c>
      <c r="E1" s="3" t="s">
        <v>4</v>
      </c>
      <c r="F1" s="3" t="s">
        <v>1658</v>
      </c>
      <c r="G1" s="3" t="s">
        <v>1659</v>
      </c>
      <c r="H1" s="3" t="s">
        <v>1660</v>
      </c>
      <c r="I1" s="3" t="s">
        <v>1661</v>
      </c>
      <c r="J1" s="3" t="s">
        <v>1662</v>
      </c>
      <c r="K1" s="3" t="s">
        <v>1663</v>
      </c>
      <c r="L1" s="3" t="s">
        <v>95</v>
      </c>
      <c r="M1" s="3" t="s">
        <v>1664</v>
      </c>
      <c r="N1" s="3" t="s">
        <v>1665</v>
      </c>
    </row>
    <row r="2" spans="1:14" x14ac:dyDescent="0.25">
      <c r="A2" s="20">
        <v>1813</v>
      </c>
      <c r="B2" s="20" t="s">
        <v>26</v>
      </c>
      <c r="C2" s="20" t="s">
        <v>102</v>
      </c>
      <c r="D2" s="21" t="s">
        <v>1666</v>
      </c>
      <c r="E2" s="20" t="s">
        <v>1667</v>
      </c>
      <c r="F2" s="21" t="s">
        <v>170</v>
      </c>
      <c r="G2" s="21" t="s">
        <v>1668</v>
      </c>
      <c r="H2" s="20" t="s">
        <v>100</v>
      </c>
      <c r="I2" s="20" t="s">
        <v>101</v>
      </c>
      <c r="J2" s="20" t="s">
        <v>100</v>
      </c>
      <c r="K2" s="22">
        <v>165</v>
      </c>
      <c r="L2" s="22">
        <f>SUMIFS(Cifras!$H$2:$H$399,Cifras!$B$2:$B$399,B2,Cifras!$C$2:$C$399,C2)</f>
        <v>330</v>
      </c>
      <c r="M2" s="22">
        <f>SUMIFS(Cifras!$J$2:$J$399,Cifras!$B$2:$B$399,B2,Cifras!$C$2:$C$399,C2)</f>
        <v>0</v>
      </c>
      <c r="N2" s="20" t="s">
        <v>1669</v>
      </c>
    </row>
    <row r="3" spans="1:14" x14ac:dyDescent="0.25">
      <c r="A3" s="20">
        <v>1813</v>
      </c>
      <c r="B3" s="20" t="s">
        <v>26</v>
      </c>
      <c r="C3" s="20" t="s">
        <v>98</v>
      </c>
      <c r="D3" s="21" t="s">
        <v>1670</v>
      </c>
      <c r="E3" s="20" t="s">
        <v>1667</v>
      </c>
      <c r="F3" s="21" t="s">
        <v>170</v>
      </c>
      <c r="G3" s="21" t="s">
        <v>1651</v>
      </c>
      <c r="H3" s="20" t="s">
        <v>100</v>
      </c>
      <c r="I3" s="20" t="s">
        <v>101</v>
      </c>
      <c r="J3" s="20" t="s">
        <v>101</v>
      </c>
      <c r="K3" s="22">
        <v>14</v>
      </c>
      <c r="L3" s="22">
        <f>SUMIFS(Cifras!$H$2:$H$399,Cifras!$B$2:$B$399,B3,Cifras!$C$2:$C$399,C3)</f>
        <v>266</v>
      </c>
      <c r="M3" s="22">
        <f>SUMIFS(Cifras!$J$2:$J$399,Cifras!$B$2:$B$399,B3,Cifras!$C$2:$C$399,C3)</f>
        <v>0</v>
      </c>
      <c r="N3" s="20" t="s">
        <v>1671</v>
      </c>
    </row>
    <row r="4" spans="1:14" ht="25.5" x14ac:dyDescent="0.25">
      <c r="A4" s="20">
        <v>1835</v>
      </c>
      <c r="B4" s="20" t="s">
        <v>30</v>
      </c>
      <c r="C4" s="20" t="s">
        <v>104</v>
      </c>
      <c r="D4" s="21" t="s">
        <v>1672</v>
      </c>
      <c r="E4" s="20" t="s">
        <v>1673</v>
      </c>
      <c r="F4" s="21" t="s">
        <v>253</v>
      </c>
      <c r="G4" s="21" t="s">
        <v>1674</v>
      </c>
      <c r="H4" s="20" t="s">
        <v>100</v>
      </c>
      <c r="I4" s="20" t="s">
        <v>101</v>
      </c>
      <c r="J4" s="20" t="s">
        <v>100</v>
      </c>
      <c r="K4" s="22">
        <v>59</v>
      </c>
      <c r="L4" s="22">
        <f>SUMIFS(Cifras!$H$2:$H$399,Cifras!$B$2:$B$399,B4,Cifras!$C$2:$C$399,C4)</f>
        <v>295</v>
      </c>
      <c r="M4" s="22">
        <f>SUMIFS(Cifras!$J$2:$J$399,Cifras!$B$2:$B$399,B4,Cifras!$C$2:$C$399,C4)</f>
        <v>2</v>
      </c>
      <c r="N4" s="20" t="s">
        <v>1675</v>
      </c>
    </row>
    <row r="5" spans="1:14" ht="25.5" x14ac:dyDescent="0.25">
      <c r="A5" s="20">
        <v>1865</v>
      </c>
      <c r="B5" s="20" t="s">
        <v>39</v>
      </c>
      <c r="C5" s="20" t="s">
        <v>110</v>
      </c>
      <c r="D5" s="21" t="s">
        <v>1676</v>
      </c>
      <c r="E5" s="20" t="s">
        <v>1677</v>
      </c>
      <c r="F5" s="21" t="s">
        <v>290</v>
      </c>
      <c r="G5" s="21" t="s">
        <v>1678</v>
      </c>
      <c r="H5" s="20" t="s">
        <v>100</v>
      </c>
      <c r="I5" s="20" t="s">
        <v>101</v>
      </c>
      <c r="J5" s="20" t="s">
        <v>101</v>
      </c>
      <c r="K5" s="22">
        <v>54</v>
      </c>
      <c r="L5" s="22">
        <f>SUMIFS(Cifras!$H$2:$H$399,Cifras!$B$2:$B$399,B5,Cifras!$C$2:$C$399,C5)</f>
        <v>810</v>
      </c>
      <c r="M5" s="22">
        <f>SUMIFS(Cifras!$J$2:$J$399,Cifras!$B$2:$B$399,B5,Cifras!$C$2:$C$399,C5)</f>
        <v>2</v>
      </c>
      <c r="N5" s="20" t="s">
        <v>1679</v>
      </c>
    </row>
    <row r="6" spans="1:14" ht="25.5" x14ac:dyDescent="0.25">
      <c r="A6" s="20">
        <v>1865</v>
      </c>
      <c r="B6" s="20" t="s">
        <v>39</v>
      </c>
      <c r="C6" s="20" t="s">
        <v>111</v>
      </c>
      <c r="D6" s="21" t="s">
        <v>1680</v>
      </c>
      <c r="E6" s="20" t="s">
        <v>1681</v>
      </c>
      <c r="F6" s="21" t="s">
        <v>290</v>
      </c>
      <c r="G6" s="21" t="s">
        <v>1682</v>
      </c>
      <c r="H6" s="20" t="s">
        <v>100</v>
      </c>
      <c r="I6" s="20" t="s">
        <v>101</v>
      </c>
      <c r="J6" s="20" t="s">
        <v>101</v>
      </c>
      <c r="K6" s="22">
        <v>16</v>
      </c>
      <c r="L6" s="22">
        <f>SUMIFS(Cifras!$H$2:$H$399,Cifras!$B$2:$B$399,B6,Cifras!$C$2:$C$399,C6)</f>
        <v>240</v>
      </c>
      <c r="M6" s="22">
        <f>SUMIFS(Cifras!$J$2:$J$399,Cifras!$B$2:$B$399,B6,Cifras!$C$2:$C$399,C6)</f>
        <v>0</v>
      </c>
      <c r="N6" s="20" t="s">
        <v>1683</v>
      </c>
    </row>
    <row r="7" spans="1:14" ht="25.5" x14ac:dyDescent="0.25">
      <c r="A7" s="20">
        <v>1865</v>
      </c>
      <c r="B7" s="20" t="s">
        <v>39</v>
      </c>
      <c r="C7" s="20" t="s">
        <v>107</v>
      </c>
      <c r="D7" s="21" t="s">
        <v>1684</v>
      </c>
      <c r="E7" s="20" t="s">
        <v>1685</v>
      </c>
      <c r="F7" s="21" t="s">
        <v>1686</v>
      </c>
      <c r="G7" s="21" t="s">
        <v>1687</v>
      </c>
      <c r="H7" s="20" t="s">
        <v>100</v>
      </c>
      <c r="I7" s="20" t="s">
        <v>100</v>
      </c>
      <c r="J7" s="20" t="s">
        <v>100</v>
      </c>
      <c r="K7" s="22">
        <v>54</v>
      </c>
      <c r="L7" s="22">
        <f>SUMIFS(Cifras!$H$2:$H$399,Cifras!$B$2:$B$399,B7,Cifras!$C$2:$C$399,C7)</f>
        <v>269</v>
      </c>
      <c r="M7" s="22">
        <f>SUMIFS(Cifras!$J$2:$J$399,Cifras!$B$2:$B$399,B7,Cifras!$C$2:$C$399,C7)</f>
        <v>0</v>
      </c>
      <c r="N7" s="20" t="s">
        <v>1688</v>
      </c>
    </row>
    <row r="8" spans="1:14" ht="25.5" x14ac:dyDescent="0.25">
      <c r="A8" s="20">
        <v>1865</v>
      </c>
      <c r="B8" s="20" t="s">
        <v>39</v>
      </c>
      <c r="C8" s="20" t="s">
        <v>107</v>
      </c>
      <c r="D8" s="21" t="s">
        <v>1689</v>
      </c>
      <c r="E8" s="20" t="s">
        <v>1685</v>
      </c>
      <c r="F8" s="21" t="s">
        <v>1686</v>
      </c>
      <c r="G8" s="21" t="s">
        <v>1687</v>
      </c>
      <c r="H8" s="20" t="s">
        <v>100</v>
      </c>
      <c r="I8" s="20" t="s">
        <v>100</v>
      </c>
      <c r="J8" s="20" t="s">
        <v>100</v>
      </c>
      <c r="K8" s="22">
        <v>53</v>
      </c>
      <c r="L8" s="22">
        <f>SUMIFS(Cifras!$H$2:$H$399,Cifras!$B$2:$B$399,B8,Cifras!$C$2:$C$399,C8)</f>
        <v>269</v>
      </c>
      <c r="M8" s="22">
        <f>SUMIFS(Cifras!$J$2:$J$399,Cifras!$B$2:$B$399,B8,Cifras!$C$2:$C$399,C8)</f>
        <v>0</v>
      </c>
      <c r="N8" s="20" t="s">
        <v>1690</v>
      </c>
    </row>
    <row r="9" spans="1:14" ht="25.5" x14ac:dyDescent="0.25">
      <c r="A9" s="20">
        <v>1875</v>
      </c>
      <c r="B9" s="20" t="s">
        <v>43</v>
      </c>
      <c r="C9" s="20" t="s">
        <v>116</v>
      </c>
      <c r="D9" s="21" t="s">
        <v>1691</v>
      </c>
      <c r="E9" s="20" t="s">
        <v>1692</v>
      </c>
      <c r="F9" s="21" t="s">
        <v>380</v>
      </c>
      <c r="G9" s="21" t="s">
        <v>1687</v>
      </c>
      <c r="H9" s="20" t="s">
        <v>101</v>
      </c>
      <c r="I9" s="20" t="s">
        <v>101</v>
      </c>
      <c r="J9" s="20" t="s">
        <v>101</v>
      </c>
      <c r="K9" s="22">
        <v>78</v>
      </c>
      <c r="L9" s="22">
        <f>SUMIFS(Cifras!$H$2:$H$399,Cifras!$B$2:$B$399,B9,Cifras!$C$2:$C$399,C9)</f>
        <v>1404</v>
      </c>
      <c r="M9" s="22">
        <f>SUMIFS(Cifras!$J$2:$J$399,Cifras!$B$2:$B$399,B9,Cifras!$C$2:$C$399,C9)</f>
        <v>3</v>
      </c>
      <c r="N9" s="20" t="s">
        <v>1693</v>
      </c>
    </row>
    <row r="10" spans="1:14" ht="25.5" x14ac:dyDescent="0.25">
      <c r="A10" s="20">
        <v>1875</v>
      </c>
      <c r="B10" s="20" t="s">
        <v>43</v>
      </c>
      <c r="C10" s="20" t="s">
        <v>116</v>
      </c>
      <c r="D10" s="21" t="s">
        <v>1694</v>
      </c>
      <c r="E10" s="20" t="s">
        <v>1692</v>
      </c>
      <c r="F10" s="21" t="s">
        <v>380</v>
      </c>
      <c r="G10" s="21" t="s">
        <v>1687</v>
      </c>
      <c r="H10" s="20" t="s">
        <v>101</v>
      </c>
      <c r="I10" s="20" t="s">
        <v>101</v>
      </c>
      <c r="J10" s="20" t="s">
        <v>101</v>
      </c>
      <c r="K10" s="22">
        <v>78</v>
      </c>
      <c r="L10" s="22">
        <f>SUMIFS(Cifras!$H$2:$H$399,Cifras!$B$2:$B$399,B10,Cifras!$C$2:$C$399,C10)</f>
        <v>1404</v>
      </c>
      <c r="M10" s="22">
        <f>SUMIFS(Cifras!$J$2:$J$399,Cifras!$B$2:$B$399,B10,Cifras!$C$2:$C$399,C10)</f>
        <v>3</v>
      </c>
      <c r="N10" s="20" t="s">
        <v>1695</v>
      </c>
    </row>
    <row r="11" spans="1:14" ht="25.5" x14ac:dyDescent="0.25">
      <c r="A11" s="20">
        <v>1875</v>
      </c>
      <c r="B11" s="20" t="s">
        <v>43</v>
      </c>
      <c r="C11" s="20" t="s">
        <v>109</v>
      </c>
      <c r="D11" s="21" t="s">
        <v>1696</v>
      </c>
      <c r="E11" s="20" t="s">
        <v>1697</v>
      </c>
      <c r="F11" s="21" t="s">
        <v>1698</v>
      </c>
      <c r="G11" s="21" t="s">
        <v>1687</v>
      </c>
      <c r="H11" s="20" t="s">
        <v>100</v>
      </c>
      <c r="I11" s="20" t="s">
        <v>100</v>
      </c>
      <c r="J11" s="20" t="s">
        <v>100</v>
      </c>
      <c r="K11" s="22">
        <v>61</v>
      </c>
      <c r="L11" s="22">
        <f>SUMIFS(Cifras!$H$2:$H$399,Cifras!$B$2:$B$399,B11,Cifras!$C$2:$C$399,C11)</f>
        <v>379</v>
      </c>
      <c r="M11" s="22">
        <f>SUMIFS(Cifras!$J$2:$J$399,Cifras!$B$2:$B$399,B11,Cifras!$C$2:$C$399,C11)</f>
        <v>2</v>
      </c>
      <c r="N11" s="20" t="s">
        <v>1699</v>
      </c>
    </row>
    <row r="12" spans="1:14" ht="25.5" x14ac:dyDescent="0.25">
      <c r="A12" s="20">
        <v>1875</v>
      </c>
      <c r="B12" s="20" t="s">
        <v>43</v>
      </c>
      <c r="C12" s="20" t="s">
        <v>109</v>
      </c>
      <c r="D12" s="21" t="s">
        <v>1700</v>
      </c>
      <c r="E12" s="20" t="s">
        <v>1153</v>
      </c>
      <c r="F12" s="21" t="s">
        <v>1698</v>
      </c>
      <c r="G12" s="21" t="s">
        <v>1687</v>
      </c>
      <c r="H12" s="20" t="s">
        <v>100</v>
      </c>
      <c r="I12" s="20" t="s">
        <v>100</v>
      </c>
      <c r="J12" s="20" t="s">
        <v>100</v>
      </c>
      <c r="K12" s="22">
        <v>74</v>
      </c>
      <c r="L12" s="22">
        <f>SUMIFS(Cifras!$H$2:$H$399,Cifras!$B$2:$B$399,B12,Cifras!$C$2:$C$399,C12)</f>
        <v>379</v>
      </c>
      <c r="M12" s="22">
        <f>SUMIFS(Cifras!$J$2:$J$399,Cifras!$B$2:$B$399,B12,Cifras!$C$2:$C$399,C12)</f>
        <v>2</v>
      </c>
      <c r="N12" s="20" t="s">
        <v>1701</v>
      </c>
    </row>
    <row r="13" spans="1:14" ht="25.5" x14ac:dyDescent="0.25">
      <c r="A13" s="20">
        <v>1885</v>
      </c>
      <c r="B13" s="20" t="s">
        <v>47</v>
      </c>
      <c r="C13" s="20" t="s">
        <v>117</v>
      </c>
      <c r="D13" s="21" t="s">
        <v>1702</v>
      </c>
      <c r="E13" s="20" t="s">
        <v>1703</v>
      </c>
      <c r="F13" s="21" t="s">
        <v>458</v>
      </c>
      <c r="G13" s="21" t="s">
        <v>1687</v>
      </c>
      <c r="H13" s="20" t="s">
        <v>101</v>
      </c>
      <c r="I13" s="20" t="s">
        <v>101</v>
      </c>
      <c r="J13" s="20" t="s">
        <v>101</v>
      </c>
      <c r="K13" s="22">
        <v>94</v>
      </c>
      <c r="L13" s="22">
        <f>SUMIFS(Cifras!$H$2:$H$399,Cifras!$B$2:$B$399,B13,Cifras!$C$2:$C$399,C13)</f>
        <v>5358</v>
      </c>
      <c r="M13" s="22">
        <f>SUMIFS(Cifras!$J$2:$J$399,Cifras!$B$2:$B$399,B13,Cifras!$C$2:$C$399,C13)</f>
        <v>13</v>
      </c>
      <c r="N13" s="20" t="s">
        <v>1704</v>
      </c>
    </row>
    <row r="14" spans="1:14" ht="25.5" x14ac:dyDescent="0.25">
      <c r="A14" s="20">
        <v>1885</v>
      </c>
      <c r="B14" s="20" t="s">
        <v>47</v>
      </c>
      <c r="C14" s="20" t="s">
        <v>117</v>
      </c>
      <c r="D14" s="21" t="s">
        <v>1705</v>
      </c>
      <c r="E14" s="20" t="s">
        <v>1706</v>
      </c>
      <c r="F14" s="21" t="s">
        <v>458</v>
      </c>
      <c r="G14" s="21" t="s">
        <v>1687</v>
      </c>
      <c r="H14" s="20" t="s">
        <v>101</v>
      </c>
      <c r="I14" s="20" t="s">
        <v>101</v>
      </c>
      <c r="J14" s="20" t="s">
        <v>101</v>
      </c>
      <c r="K14" s="22">
        <v>2538</v>
      </c>
      <c r="L14" s="22">
        <f>SUMIFS(Cifras!$H$2:$H$399,Cifras!$B$2:$B$399,B14,Cifras!$C$2:$C$399,C14)</f>
        <v>5358</v>
      </c>
      <c r="M14" s="22">
        <f>SUMIFS(Cifras!$J$2:$J$399,Cifras!$B$2:$B$399,B14,Cifras!$C$2:$C$399,C14)</f>
        <v>13</v>
      </c>
      <c r="N14" s="20" t="s">
        <v>1707</v>
      </c>
    </row>
    <row r="15" spans="1:14" ht="25.5" x14ac:dyDescent="0.25">
      <c r="A15" s="20">
        <v>1895</v>
      </c>
      <c r="B15" s="20" t="s">
        <v>50</v>
      </c>
      <c r="C15" s="20" t="s">
        <v>120</v>
      </c>
      <c r="D15" s="21" t="s">
        <v>1702</v>
      </c>
      <c r="E15" s="20" t="s">
        <v>1708</v>
      </c>
      <c r="F15" s="21" t="s">
        <v>538</v>
      </c>
      <c r="G15" s="21" t="s">
        <v>1687</v>
      </c>
      <c r="H15" s="20" t="s">
        <v>101</v>
      </c>
      <c r="I15" s="20" t="s">
        <v>101</v>
      </c>
      <c r="J15" s="20" t="s">
        <v>101</v>
      </c>
      <c r="K15" s="22">
        <v>97</v>
      </c>
      <c r="L15" s="22">
        <f>SUMIFS(Cifras!$H$2:$H$399,Cifras!$B$2:$B$399,B15,Cifras!$C$2:$C$399,C15)</f>
        <v>5529</v>
      </c>
      <c r="M15" s="22">
        <f>SUMIFS(Cifras!$J$2:$J$399,Cifras!$B$2:$B$399,B15,Cifras!$C$2:$C$399,C15)</f>
        <v>56</v>
      </c>
      <c r="N15" s="20" t="s">
        <v>1709</v>
      </c>
    </row>
    <row r="16" spans="1:14" ht="25.5" x14ac:dyDescent="0.25">
      <c r="A16" s="20">
        <v>1895</v>
      </c>
      <c r="B16" s="20" t="s">
        <v>50</v>
      </c>
      <c r="C16" s="20" t="s">
        <v>120</v>
      </c>
      <c r="D16" s="21" t="s">
        <v>1710</v>
      </c>
      <c r="E16" s="20" t="s">
        <v>1711</v>
      </c>
      <c r="F16" s="21" t="s">
        <v>538</v>
      </c>
      <c r="G16" s="21" t="s">
        <v>1687</v>
      </c>
      <c r="H16" s="20" t="s">
        <v>101</v>
      </c>
      <c r="I16" s="20" t="s">
        <v>101</v>
      </c>
      <c r="J16" s="20" t="s">
        <v>101</v>
      </c>
      <c r="K16" s="22">
        <v>2619</v>
      </c>
      <c r="L16" s="22">
        <f>SUMIFS(Cifras!$H$2:$H$399,Cifras!$B$2:$B$399,B16,Cifras!$C$2:$C$399,C16)</f>
        <v>5529</v>
      </c>
      <c r="M16" s="22">
        <f>SUMIFS(Cifras!$J$2:$J$399,Cifras!$B$2:$B$399,B16,Cifras!$C$2:$C$399,C16)</f>
        <v>56</v>
      </c>
      <c r="N16" s="20" t="s">
        <v>1712</v>
      </c>
    </row>
    <row r="17" spans="1:14" ht="38.25" x14ac:dyDescent="0.25">
      <c r="A17" s="20">
        <v>1895</v>
      </c>
      <c r="B17" s="20" t="s">
        <v>50</v>
      </c>
      <c r="C17" s="20" t="s">
        <v>119</v>
      </c>
      <c r="D17" s="21" t="s">
        <v>1713</v>
      </c>
      <c r="E17" s="20" t="s">
        <v>1714</v>
      </c>
      <c r="F17" s="21" t="s">
        <v>538</v>
      </c>
      <c r="G17" s="21" t="s">
        <v>1674</v>
      </c>
      <c r="H17" s="20" t="s">
        <v>100</v>
      </c>
      <c r="I17" s="20" t="s">
        <v>101</v>
      </c>
      <c r="J17" s="20" t="s">
        <v>101</v>
      </c>
      <c r="K17" s="22">
        <v>15</v>
      </c>
      <c r="L17" s="22">
        <f>SUMIFS(Cifras!$H$2:$H$399,Cifras!$B$2:$B$399,B17,Cifras!$C$2:$C$399,C17)</f>
        <v>30</v>
      </c>
      <c r="M17" s="22">
        <f>SUMIFS(Cifras!$J$2:$J$399,Cifras!$B$2:$B$399,B17,Cifras!$C$2:$C$399,C17)</f>
        <v>0</v>
      </c>
      <c r="N17" s="20" t="s">
        <v>1715</v>
      </c>
    </row>
    <row r="18" spans="1:14" ht="25.5" x14ac:dyDescent="0.25">
      <c r="A18" s="20">
        <v>1907</v>
      </c>
      <c r="B18" s="20" t="s">
        <v>53</v>
      </c>
      <c r="C18" s="20" t="s">
        <v>112</v>
      </c>
      <c r="D18" s="21" t="s">
        <v>737</v>
      </c>
      <c r="E18" s="20" t="s">
        <v>1716</v>
      </c>
      <c r="F18" s="21" t="s">
        <v>662</v>
      </c>
      <c r="G18" s="21" t="s">
        <v>1674</v>
      </c>
      <c r="H18" s="20" t="s">
        <v>101</v>
      </c>
      <c r="I18" s="20" t="s">
        <v>101</v>
      </c>
      <c r="J18" s="20" t="s">
        <v>100</v>
      </c>
      <c r="K18" s="22">
        <v>102</v>
      </c>
      <c r="L18" s="22">
        <f>SUMIFS(Cifras!$H$2:$H$399,Cifras!$B$2:$B$399,B18,Cifras!$C$2:$C$399,C18)</f>
        <v>918</v>
      </c>
      <c r="M18" s="22">
        <f>SUMIFS(Cifras!$J$2:$J$399,Cifras!$B$2:$B$399,B18,Cifras!$C$2:$C$399,C18)</f>
        <v>6</v>
      </c>
      <c r="N18" s="20" t="s">
        <v>1717</v>
      </c>
    </row>
    <row r="19" spans="1:14" ht="25.5" x14ac:dyDescent="0.25">
      <c r="A19" s="20">
        <v>1907</v>
      </c>
      <c r="B19" s="20" t="s">
        <v>53</v>
      </c>
      <c r="C19" s="20" t="s">
        <v>118</v>
      </c>
      <c r="D19" s="21" t="s">
        <v>1718</v>
      </c>
      <c r="E19" s="20" t="s">
        <v>1719</v>
      </c>
      <c r="F19" s="21" t="s">
        <v>662</v>
      </c>
      <c r="G19" s="21" t="s">
        <v>1674</v>
      </c>
      <c r="H19" s="20" t="s">
        <v>100</v>
      </c>
      <c r="I19" s="20" t="s">
        <v>101</v>
      </c>
      <c r="J19" s="20" t="s">
        <v>101</v>
      </c>
      <c r="K19" s="22">
        <v>1501</v>
      </c>
      <c r="L19" s="22">
        <f>SUMIFS(Cifras!$H$2:$H$399,Cifras!$B$2:$B$399,B19,Cifras!$C$2:$C$399,C19)</f>
        <v>4503</v>
      </c>
      <c r="M19" s="22">
        <f>SUMIFS(Cifras!$J$2:$J$399,Cifras!$B$2:$B$399,B19,Cifras!$C$2:$C$399,C19)</f>
        <v>0</v>
      </c>
      <c r="N19" s="20" t="s">
        <v>1720</v>
      </c>
    </row>
    <row r="20" spans="1:14" ht="25.5" x14ac:dyDescent="0.25">
      <c r="A20" s="20">
        <v>1920</v>
      </c>
      <c r="B20" s="20" t="s">
        <v>56</v>
      </c>
      <c r="C20" s="20" t="s">
        <v>112</v>
      </c>
      <c r="D20" s="21" t="s">
        <v>761</v>
      </c>
      <c r="E20" s="20" t="s">
        <v>1721</v>
      </c>
      <c r="F20" s="21" t="s">
        <v>1722</v>
      </c>
      <c r="G20" s="21" t="s">
        <v>1687</v>
      </c>
      <c r="H20" s="20" t="s">
        <v>100</v>
      </c>
      <c r="I20" s="20" t="s">
        <v>100</v>
      </c>
      <c r="J20" s="20" t="s">
        <v>100</v>
      </c>
      <c r="K20" s="22">
        <v>107</v>
      </c>
      <c r="L20" s="22">
        <f>SUMIFS(Cifras!$H$2:$H$399,Cifras!$B$2:$B$399,B20,Cifras!$C$2:$C$399,C20)</f>
        <v>642</v>
      </c>
      <c r="M20" s="22">
        <f>SUMIFS(Cifras!$J$2:$J$399,Cifras!$B$2:$B$399,B20,Cifras!$C$2:$C$399,C20)</f>
        <v>1</v>
      </c>
      <c r="N20" s="20" t="s">
        <v>1723</v>
      </c>
    </row>
    <row r="21" spans="1:14" ht="25.5" x14ac:dyDescent="0.25">
      <c r="A21" s="20">
        <v>1920</v>
      </c>
      <c r="B21" s="20" t="s">
        <v>56</v>
      </c>
      <c r="C21" s="20" t="s">
        <v>121</v>
      </c>
      <c r="D21" s="21" t="s">
        <v>765</v>
      </c>
      <c r="E21" s="20" t="s">
        <v>1724</v>
      </c>
      <c r="F21" s="21" t="s">
        <v>1725</v>
      </c>
      <c r="G21" s="21" t="s">
        <v>1687</v>
      </c>
      <c r="H21" s="20" t="s">
        <v>101</v>
      </c>
      <c r="I21" s="20" t="s">
        <v>100</v>
      </c>
      <c r="J21" s="20" t="s">
        <v>100</v>
      </c>
      <c r="K21" s="22">
        <v>107</v>
      </c>
      <c r="L21" s="22">
        <f>SUMIFS(Cifras!$H$2:$H$399,Cifras!$B$2:$B$399,B21,Cifras!$C$2:$C$399,C21)</f>
        <v>642</v>
      </c>
      <c r="M21" s="22">
        <f>SUMIFS(Cifras!$J$2:$J$399,Cifras!$B$2:$B$399,B21,Cifras!$C$2:$C$399,C21)</f>
        <v>10</v>
      </c>
      <c r="N21" s="20" t="s">
        <v>1726</v>
      </c>
    </row>
    <row r="22" spans="1:14" ht="25.5" x14ac:dyDescent="0.25">
      <c r="A22" s="20">
        <v>1920</v>
      </c>
      <c r="B22" s="20" t="s">
        <v>56</v>
      </c>
      <c r="C22" s="20" t="s">
        <v>123</v>
      </c>
      <c r="D22" s="21" t="s">
        <v>768</v>
      </c>
      <c r="E22" s="20" t="s">
        <v>1727</v>
      </c>
      <c r="F22" s="21" t="s">
        <v>769</v>
      </c>
      <c r="G22" s="21" t="s">
        <v>1687</v>
      </c>
      <c r="H22" s="20" t="s">
        <v>101</v>
      </c>
      <c r="I22" s="20" t="s">
        <v>101</v>
      </c>
      <c r="J22" s="20" t="s">
        <v>100</v>
      </c>
      <c r="K22" s="22">
        <v>107</v>
      </c>
      <c r="L22" s="22">
        <f>SUMIFS(Cifras!$H$2:$H$399,Cifras!$B$2:$B$399,B22,Cifras!$C$2:$C$399,C22)</f>
        <v>963</v>
      </c>
      <c r="M22" s="22">
        <f>SUMIFS(Cifras!$J$2:$J$399,Cifras!$B$2:$B$399,B22,Cifras!$C$2:$C$399,C22)</f>
        <v>0</v>
      </c>
      <c r="N22" s="20" t="s">
        <v>1728</v>
      </c>
    </row>
    <row r="23" spans="1:14" ht="25.5" x14ac:dyDescent="0.25">
      <c r="A23" s="20">
        <v>1920</v>
      </c>
      <c r="B23" s="20" t="s">
        <v>56</v>
      </c>
      <c r="C23" s="20" t="s">
        <v>124</v>
      </c>
      <c r="D23" s="21" t="s">
        <v>788</v>
      </c>
      <c r="E23" s="20" t="s">
        <v>1729</v>
      </c>
      <c r="F23" s="21" t="s">
        <v>769</v>
      </c>
      <c r="G23" s="21" t="s">
        <v>1674</v>
      </c>
      <c r="H23" s="20" t="s">
        <v>100</v>
      </c>
      <c r="I23" s="20" t="s">
        <v>101</v>
      </c>
      <c r="J23" s="20" t="s">
        <v>101</v>
      </c>
      <c r="K23" s="22">
        <v>2407</v>
      </c>
      <c r="L23" s="22">
        <f>SUMIFS(Cifras!$H$2:$H$399,Cifras!$B$2:$B$399,B23,Cifras!$C$2:$C$399,C23)</f>
        <v>7221</v>
      </c>
      <c r="M23" s="22">
        <f>SUMIFS(Cifras!$J$2:$J$399,Cifras!$B$2:$B$399,B23,Cifras!$C$2:$C$399,C23)</f>
        <v>9</v>
      </c>
      <c r="N23" s="20" t="s">
        <v>1730</v>
      </c>
    </row>
    <row r="24" spans="1:14" ht="25.5" x14ac:dyDescent="0.25">
      <c r="A24" s="20">
        <v>1930</v>
      </c>
      <c r="B24" s="20" t="s">
        <v>59</v>
      </c>
      <c r="C24" s="20" t="s">
        <v>115</v>
      </c>
      <c r="D24" s="21" t="s">
        <v>871</v>
      </c>
      <c r="E24" s="20" t="s">
        <v>1731</v>
      </c>
      <c r="F24" s="21" t="s">
        <v>1732</v>
      </c>
      <c r="G24" s="21" t="s">
        <v>1733</v>
      </c>
      <c r="H24" s="20" t="s">
        <v>101</v>
      </c>
      <c r="I24" s="20" t="s">
        <v>101</v>
      </c>
      <c r="J24" s="20" t="s">
        <v>100</v>
      </c>
      <c r="K24" s="22">
        <v>336</v>
      </c>
      <c r="L24" s="22">
        <f>SUMIFS(Cifras!$H$2:$H$399,Cifras!$B$2:$B$399,B24,Cifras!$C$2:$C$399,C24)</f>
        <v>3024</v>
      </c>
      <c r="M24" s="22">
        <f>SUMIFS(Cifras!$J$2:$J$399,Cifras!$B$2:$B$399,B24,Cifras!$C$2:$C$399,C24)</f>
        <v>3</v>
      </c>
      <c r="N24" s="20" t="s">
        <v>1734</v>
      </c>
    </row>
    <row r="25" spans="1:14" ht="25.5" x14ac:dyDescent="0.25">
      <c r="A25" s="20">
        <v>1930</v>
      </c>
      <c r="B25" s="20" t="s">
        <v>59</v>
      </c>
      <c r="C25" s="20" t="s">
        <v>122</v>
      </c>
      <c r="D25" s="21" t="s">
        <v>1735</v>
      </c>
      <c r="E25" s="20" t="s">
        <v>1202</v>
      </c>
      <c r="F25" s="21" t="s">
        <v>1736</v>
      </c>
      <c r="G25" s="21" t="s">
        <v>1682</v>
      </c>
      <c r="H25" s="20" t="s">
        <v>101</v>
      </c>
      <c r="I25" s="20" t="s">
        <v>100</v>
      </c>
      <c r="J25" s="20" t="s">
        <v>100</v>
      </c>
      <c r="K25" s="22">
        <v>18</v>
      </c>
      <c r="L25" s="22">
        <f>SUMIFS(Cifras!$H$2:$H$399,Cifras!$B$2:$B$399,B25,Cifras!$C$2:$C$399,C25)</f>
        <v>216</v>
      </c>
      <c r="M25" s="22">
        <f>SUMIFS(Cifras!$J$2:$J$399,Cifras!$B$2:$B$399,B25,Cifras!$C$2:$C$399,C25)</f>
        <v>1</v>
      </c>
      <c r="N25" s="20" t="s">
        <v>1737</v>
      </c>
    </row>
    <row r="26" spans="1:14" x14ac:dyDescent="0.25">
      <c r="A26" s="20">
        <v>1930</v>
      </c>
      <c r="B26" s="20" t="s">
        <v>59</v>
      </c>
      <c r="C26" s="20" t="s">
        <v>126</v>
      </c>
      <c r="D26" s="21" t="s">
        <v>890</v>
      </c>
      <c r="E26" s="20" t="s">
        <v>1738</v>
      </c>
      <c r="F26" s="21" t="s">
        <v>859</v>
      </c>
      <c r="G26" s="21" t="s">
        <v>1653</v>
      </c>
      <c r="H26" s="20" t="s">
        <v>100</v>
      </c>
      <c r="I26" s="20" t="s">
        <v>101</v>
      </c>
      <c r="J26" s="20" t="s">
        <v>101</v>
      </c>
      <c r="K26" s="22">
        <v>1751</v>
      </c>
      <c r="L26" s="22">
        <f>SUMIFS(Cifras!$H$2:$H$399,Cifras!$B$2:$B$399,B26,Cifras!$C$2:$C$399,C26)</f>
        <v>5253</v>
      </c>
      <c r="M26" s="22">
        <f>SUMIFS(Cifras!$J$2:$J$399,Cifras!$B$2:$B$399,B26,Cifras!$C$2:$C$399,C26)</f>
        <v>4</v>
      </c>
      <c r="N26" s="20" t="s">
        <v>1739</v>
      </c>
    </row>
    <row r="27" spans="1:14" ht="25.5" x14ac:dyDescent="0.25">
      <c r="A27" s="20">
        <v>1940</v>
      </c>
      <c r="B27" s="20" t="s">
        <v>62</v>
      </c>
      <c r="C27" s="20" t="s">
        <v>128</v>
      </c>
      <c r="D27" s="21" t="s">
        <v>1740</v>
      </c>
      <c r="E27" s="20" t="s">
        <v>1741</v>
      </c>
      <c r="F27" s="21" t="s">
        <v>900</v>
      </c>
      <c r="G27" s="21" t="s">
        <v>1742</v>
      </c>
      <c r="H27" s="20" t="s">
        <v>101</v>
      </c>
      <c r="I27" s="20" t="s">
        <v>101</v>
      </c>
      <c r="J27" s="20" t="s">
        <v>100</v>
      </c>
      <c r="K27" s="22">
        <v>388</v>
      </c>
      <c r="L27" s="22">
        <f>SUMIFS(Cifras!$H$2:$H$399,Cifras!$B$2:$B$399,B27,Cifras!$C$2:$C$399,C27)</f>
        <v>3492</v>
      </c>
      <c r="M27" s="22">
        <f>SUMIFS(Cifras!$J$2:$J$399,Cifras!$B$2:$B$399,B27,Cifras!$C$2:$C$399,C27)</f>
        <v>11</v>
      </c>
      <c r="N27" s="20" t="s">
        <v>1743</v>
      </c>
    </row>
    <row r="28" spans="1:14" x14ac:dyDescent="0.25">
      <c r="A28" s="20">
        <v>1940</v>
      </c>
      <c r="B28" s="20" t="s">
        <v>62</v>
      </c>
      <c r="C28" s="20" t="s">
        <v>127</v>
      </c>
      <c r="D28" s="21" t="s">
        <v>934</v>
      </c>
      <c r="E28" s="20" t="s">
        <v>1744</v>
      </c>
      <c r="F28" s="21" t="s">
        <v>900</v>
      </c>
      <c r="G28" s="21" t="s">
        <v>1682</v>
      </c>
      <c r="H28" s="20" t="s">
        <v>100</v>
      </c>
      <c r="I28" s="20" t="s">
        <v>101</v>
      </c>
      <c r="J28" s="20" t="s">
        <v>101</v>
      </c>
      <c r="K28" s="22">
        <v>572</v>
      </c>
      <c r="L28" s="22">
        <f>SUMIFS(Cifras!$H$2:$H$399,Cifras!$B$2:$B$399,B28,Cifras!$C$2:$C$399,C28)</f>
        <v>1144</v>
      </c>
      <c r="M28" s="22">
        <f>SUMIFS(Cifras!$J$2:$J$399,Cifras!$B$2:$B$399,B28,Cifras!$C$2:$C$399,C28)</f>
        <v>0</v>
      </c>
      <c r="N28" s="20" t="s">
        <v>1745</v>
      </c>
    </row>
    <row r="29" spans="1:14" ht="25.5" x14ac:dyDescent="0.25">
      <c r="A29" s="20">
        <v>1952</v>
      </c>
      <c r="B29" s="20" t="s">
        <v>65</v>
      </c>
      <c r="C29" s="20" t="s">
        <v>113</v>
      </c>
      <c r="D29" s="21" t="s">
        <v>1746</v>
      </c>
      <c r="E29" s="20" t="s">
        <v>1747</v>
      </c>
      <c r="F29" s="21" t="s">
        <v>1748</v>
      </c>
      <c r="G29" s="21" t="s">
        <v>1682</v>
      </c>
      <c r="H29" s="20" t="s">
        <v>100</v>
      </c>
      <c r="I29" s="20" t="s">
        <v>101</v>
      </c>
      <c r="J29" s="20" t="s">
        <v>100</v>
      </c>
      <c r="K29" s="22">
        <v>81</v>
      </c>
      <c r="L29" s="22">
        <f>SUMIFS(Cifras!$H$2:$H$399,Cifras!$B$2:$B$399,B29,Cifras!$C$2:$C$399,C29)</f>
        <v>729</v>
      </c>
      <c r="M29" s="22">
        <f>SUMIFS(Cifras!$J$2:$J$399,Cifras!$B$2:$B$399,B29,Cifras!$C$2:$C$399,C29)</f>
        <v>3</v>
      </c>
      <c r="N29" s="20" t="s">
        <v>1749</v>
      </c>
    </row>
    <row r="30" spans="1:14" ht="25.5" x14ac:dyDescent="0.25">
      <c r="A30" s="20">
        <v>1952</v>
      </c>
      <c r="B30" s="20" t="s">
        <v>65</v>
      </c>
      <c r="C30" s="20" t="s">
        <v>114</v>
      </c>
      <c r="D30" s="21" t="s">
        <v>1750</v>
      </c>
      <c r="E30" s="20" t="s">
        <v>1751</v>
      </c>
      <c r="F30" s="21" t="s">
        <v>1752</v>
      </c>
      <c r="G30" s="21" t="s">
        <v>1682</v>
      </c>
      <c r="H30" s="20" t="s">
        <v>100</v>
      </c>
      <c r="I30" s="20" t="s">
        <v>101</v>
      </c>
      <c r="J30" s="20" t="s">
        <v>101</v>
      </c>
      <c r="K30" s="22">
        <v>60</v>
      </c>
      <c r="L30" s="22">
        <f>SUMIFS(Cifras!$H$2:$H$399,Cifras!$B$2:$B$399,B30,Cifras!$C$2:$C$399,C30)</f>
        <v>840</v>
      </c>
      <c r="M30" s="22">
        <f>SUMIFS(Cifras!$J$2:$J$399,Cifras!$B$2:$B$399,B30,Cifras!$C$2:$C$399,C30)</f>
        <v>0</v>
      </c>
      <c r="N30" s="20" t="s">
        <v>1753</v>
      </c>
    </row>
    <row r="31" spans="1:14" ht="25.5" x14ac:dyDescent="0.25">
      <c r="A31" s="20">
        <v>1952</v>
      </c>
      <c r="B31" s="20" t="s">
        <v>65</v>
      </c>
      <c r="C31" s="20" t="s">
        <v>118</v>
      </c>
      <c r="D31" s="21" t="s">
        <v>1754</v>
      </c>
      <c r="E31" s="20" t="s">
        <v>385</v>
      </c>
      <c r="F31" s="21" t="s">
        <v>1755</v>
      </c>
      <c r="G31" s="21" t="s">
        <v>1655</v>
      </c>
      <c r="H31" s="20" t="s">
        <v>100</v>
      </c>
      <c r="I31" s="20" t="s">
        <v>100</v>
      </c>
      <c r="J31" s="20" t="s">
        <v>101</v>
      </c>
      <c r="K31" s="22">
        <v>13</v>
      </c>
      <c r="L31" s="22">
        <f>SUMIFS(Cifras!$H$2:$H$399,Cifras!$B$2:$B$399,B31,Cifras!$C$2:$C$399,C31)</f>
        <v>91</v>
      </c>
      <c r="M31" s="22">
        <f>SUMIFS(Cifras!$J$2:$J$399,Cifras!$B$2:$B$399,B31,Cifras!$C$2:$C$399,C31)</f>
        <v>1</v>
      </c>
      <c r="N31" s="20" t="s">
        <v>1756</v>
      </c>
    </row>
    <row r="32" spans="1:14" ht="25.5" x14ac:dyDescent="0.25">
      <c r="A32" s="20">
        <v>1952</v>
      </c>
      <c r="B32" s="20" t="s">
        <v>65</v>
      </c>
      <c r="C32" s="20" t="s">
        <v>115</v>
      </c>
      <c r="D32" s="21" t="s">
        <v>966</v>
      </c>
      <c r="E32" s="20" t="s">
        <v>1757</v>
      </c>
      <c r="F32" s="21" t="s">
        <v>1748</v>
      </c>
      <c r="G32" s="21" t="s">
        <v>1682</v>
      </c>
      <c r="H32" s="20" t="s">
        <v>101</v>
      </c>
      <c r="I32" s="20" t="s">
        <v>100</v>
      </c>
      <c r="J32" s="20" t="s">
        <v>100</v>
      </c>
      <c r="K32" s="22">
        <v>81</v>
      </c>
      <c r="L32" s="22">
        <f>SUMIFS(Cifras!$H$2:$H$399,Cifras!$B$2:$B$399,B32,Cifras!$C$2:$C$399,C32)</f>
        <v>729</v>
      </c>
      <c r="M32" s="22">
        <f>SUMIFS(Cifras!$J$2:$J$399,Cifras!$B$2:$B$399,B32,Cifras!$C$2:$C$399,C32)</f>
        <v>1</v>
      </c>
      <c r="N32" s="20" t="s">
        <v>1758</v>
      </c>
    </row>
    <row r="33" spans="1:14" ht="25.5" x14ac:dyDescent="0.25">
      <c r="A33" s="20">
        <v>1952</v>
      </c>
      <c r="B33" s="20" t="s">
        <v>130</v>
      </c>
      <c r="C33" s="20" t="s">
        <v>131</v>
      </c>
      <c r="D33" s="21" t="s">
        <v>979</v>
      </c>
      <c r="E33" s="20" t="s">
        <v>1759</v>
      </c>
      <c r="F33" s="21" t="s">
        <v>980</v>
      </c>
      <c r="G33" s="21" t="s">
        <v>1655</v>
      </c>
      <c r="H33" s="20" t="s">
        <v>101</v>
      </c>
      <c r="I33" s="20" t="s">
        <v>101</v>
      </c>
      <c r="J33" s="20" t="s">
        <v>101</v>
      </c>
      <c r="K33" s="22">
        <v>103</v>
      </c>
      <c r="L33" s="22">
        <f>SUMIFS(Cifras!$H$2:$H$399,Cifras!$B$2:$B$399,B33,Cifras!$C$2:$C$399,C33)</f>
        <v>927</v>
      </c>
      <c r="M33" s="22">
        <f>SUMIFS(Cifras!$J$2:$J$399,Cifras!$B$2:$B$399,B33,Cifras!$C$2:$C$399,C33)</f>
        <v>1</v>
      </c>
      <c r="N33" s="20" t="s">
        <v>1760</v>
      </c>
    </row>
    <row r="34" spans="1:14" ht="25.5" x14ac:dyDescent="0.25">
      <c r="A34" s="20">
        <v>1952</v>
      </c>
      <c r="B34" s="20" t="s">
        <v>130</v>
      </c>
      <c r="C34" s="20" t="s">
        <v>132</v>
      </c>
      <c r="D34" s="21" t="s">
        <v>983</v>
      </c>
      <c r="E34" s="20" t="s">
        <v>1761</v>
      </c>
      <c r="F34" s="21" t="s">
        <v>980</v>
      </c>
      <c r="G34" s="21" t="s">
        <v>1682</v>
      </c>
      <c r="H34" s="20" t="s">
        <v>101</v>
      </c>
      <c r="I34" s="20" t="s">
        <v>101</v>
      </c>
      <c r="J34" s="20" t="s">
        <v>100</v>
      </c>
      <c r="K34" s="22">
        <v>27</v>
      </c>
      <c r="L34" s="22">
        <f>SUMIFS(Cifras!$H$2:$H$399,Cifras!$B$2:$B$399,B34,Cifras!$C$2:$C$399,C34)</f>
        <v>243</v>
      </c>
      <c r="M34" s="22">
        <f>SUMIFS(Cifras!$J$2:$J$399,Cifras!$B$2:$B$399,B34,Cifras!$C$2:$C$399,C34)</f>
        <v>0</v>
      </c>
      <c r="N34" s="20" t="s">
        <v>1762</v>
      </c>
    </row>
    <row r="35" spans="1:14" ht="25.5" x14ac:dyDescent="0.25">
      <c r="A35" s="20">
        <v>1952</v>
      </c>
      <c r="B35" s="20" t="s">
        <v>65</v>
      </c>
      <c r="C35" s="20" t="s">
        <v>133</v>
      </c>
      <c r="D35" s="21" t="s">
        <v>986</v>
      </c>
      <c r="E35" s="20" t="s">
        <v>1763</v>
      </c>
      <c r="F35" s="21" t="s">
        <v>980</v>
      </c>
      <c r="G35" s="21" t="s">
        <v>1733</v>
      </c>
      <c r="H35" s="20" t="s">
        <v>100</v>
      </c>
      <c r="I35" s="20" t="s">
        <v>100</v>
      </c>
      <c r="J35" s="20" t="s">
        <v>100</v>
      </c>
      <c r="K35" s="22">
        <v>401</v>
      </c>
      <c r="L35" s="22">
        <f>SUMIFS(Cifras!$H$2:$H$399,Cifras!$B$2:$B$399,B35,Cifras!$C$2:$C$399,C35)</f>
        <v>401</v>
      </c>
      <c r="M35" s="22">
        <f>SUMIFS(Cifras!$J$2:$J$399,Cifras!$B$2:$B$399,B35,Cifras!$C$2:$C$399,C35)</f>
        <v>2</v>
      </c>
      <c r="N35" s="20" t="s">
        <v>1764</v>
      </c>
    </row>
    <row r="36" spans="1:14" ht="25.5" x14ac:dyDescent="0.25">
      <c r="A36" s="20">
        <v>1952</v>
      </c>
      <c r="B36" s="20" t="s">
        <v>65</v>
      </c>
      <c r="C36" s="20" t="s">
        <v>134</v>
      </c>
      <c r="D36" s="21" t="s">
        <v>994</v>
      </c>
      <c r="E36" s="20" t="s">
        <v>1765</v>
      </c>
      <c r="F36" s="21" t="s">
        <v>980</v>
      </c>
      <c r="G36" s="21" t="s">
        <v>1655</v>
      </c>
      <c r="H36" s="20" t="s">
        <v>100</v>
      </c>
      <c r="I36" s="20" t="s">
        <v>101</v>
      </c>
      <c r="J36" s="20" t="s">
        <v>101</v>
      </c>
      <c r="K36" s="22">
        <v>23</v>
      </c>
      <c r="L36" s="22">
        <f>SUMIFS(Cifras!$H$2:$H$399,Cifras!$B$2:$B$399,B36,Cifras!$C$2:$C$399,C36)</f>
        <v>69</v>
      </c>
      <c r="M36" s="22">
        <f>SUMIFS(Cifras!$J$2:$J$399,Cifras!$B$2:$B$399,B36,Cifras!$C$2:$C$399,C36)</f>
        <v>0</v>
      </c>
      <c r="N36" s="20" t="s">
        <v>1766</v>
      </c>
    </row>
    <row r="37" spans="1:14" ht="25.5" x14ac:dyDescent="0.25">
      <c r="A37" s="20">
        <v>1960</v>
      </c>
      <c r="B37" s="20" t="s">
        <v>69</v>
      </c>
      <c r="C37" s="20" t="s">
        <v>129</v>
      </c>
      <c r="D37" s="21" t="s">
        <v>1767</v>
      </c>
      <c r="E37" s="20" t="s">
        <v>1768</v>
      </c>
      <c r="F37" s="21" t="s">
        <v>1769</v>
      </c>
      <c r="G37" s="21" t="s">
        <v>1682</v>
      </c>
      <c r="H37" s="20" t="s">
        <v>101</v>
      </c>
      <c r="I37" s="20" t="s">
        <v>100</v>
      </c>
      <c r="J37" s="20" t="s">
        <v>100</v>
      </c>
      <c r="K37" s="22">
        <v>27</v>
      </c>
      <c r="L37" s="22">
        <f>SUMIFS(Cifras!$H$2:$H$399,Cifras!$B$2:$B$399,B37,Cifras!$C$2:$C$399,C37)</f>
        <v>243</v>
      </c>
      <c r="M37" s="22">
        <f>SUMIFS(Cifras!$J$2:$J$399,Cifras!$B$2:$B$399,B37,Cifras!$C$2:$C$399,C37)</f>
        <v>1</v>
      </c>
      <c r="N37" s="20" t="s">
        <v>1770</v>
      </c>
    </row>
    <row r="38" spans="1:14" x14ac:dyDescent="0.25">
      <c r="A38" s="20">
        <v>1960</v>
      </c>
      <c r="B38" s="20" t="s">
        <v>69</v>
      </c>
      <c r="C38" s="20" t="s">
        <v>135</v>
      </c>
      <c r="D38" s="21" t="s">
        <v>1771</v>
      </c>
      <c r="E38" s="20" t="s">
        <v>1772</v>
      </c>
      <c r="F38" s="21" t="s">
        <v>1229</v>
      </c>
      <c r="G38" s="21" t="s">
        <v>1682</v>
      </c>
      <c r="H38" s="20" t="s">
        <v>101</v>
      </c>
      <c r="I38" s="20" t="s">
        <v>101</v>
      </c>
      <c r="J38" s="20" t="s">
        <v>100</v>
      </c>
      <c r="K38" s="22">
        <v>80</v>
      </c>
      <c r="L38" s="22">
        <f>SUMIFS(Cifras!$H$2:$H$399,Cifras!$B$2:$B$399,B38,Cifras!$C$2:$C$399,C38)</f>
        <v>240</v>
      </c>
      <c r="M38" s="22">
        <f>SUMIFS(Cifras!$J$2:$J$399,Cifras!$B$2:$B$399,B38,Cifras!$C$2:$C$399,C38)</f>
        <v>0</v>
      </c>
      <c r="N38" s="20" t="s">
        <v>1773</v>
      </c>
    </row>
    <row r="39" spans="1:14" x14ac:dyDescent="0.25">
      <c r="A39" s="20">
        <v>1960</v>
      </c>
      <c r="B39" s="20" t="s">
        <v>69</v>
      </c>
      <c r="C39" s="20" t="s">
        <v>136</v>
      </c>
      <c r="D39" s="21" t="s">
        <v>1774</v>
      </c>
      <c r="E39" s="20" t="s">
        <v>1775</v>
      </c>
      <c r="F39" s="21" t="s">
        <v>1229</v>
      </c>
      <c r="G39" s="21" t="s">
        <v>1682</v>
      </c>
      <c r="H39" s="20" t="s">
        <v>100</v>
      </c>
      <c r="I39" s="20" t="s">
        <v>100</v>
      </c>
      <c r="J39" s="20" t="s">
        <v>101</v>
      </c>
      <c r="K39" s="22">
        <v>27</v>
      </c>
      <c r="L39" s="22">
        <f>SUMIFS(Cifras!$H$2:$H$399,Cifras!$B$2:$B$399,B39,Cifras!$C$2:$C$399,C39)</f>
        <v>459</v>
      </c>
      <c r="M39" s="22">
        <f>SUMIFS(Cifras!$J$2:$J$399,Cifras!$B$2:$B$399,B39,Cifras!$C$2:$C$399,C39)</f>
        <v>0</v>
      </c>
      <c r="N39" s="20" t="s">
        <v>1776</v>
      </c>
    </row>
    <row r="40" spans="1:14" ht="25.5" x14ac:dyDescent="0.25">
      <c r="A40" s="20">
        <v>1960</v>
      </c>
      <c r="B40" s="20" t="s">
        <v>69</v>
      </c>
      <c r="C40" s="20" t="s">
        <v>137</v>
      </c>
      <c r="D40" s="21" t="s">
        <v>1238</v>
      </c>
      <c r="E40" s="20" t="s">
        <v>1492</v>
      </c>
      <c r="F40" s="21" t="s">
        <v>1229</v>
      </c>
      <c r="G40" s="21" t="s">
        <v>1655</v>
      </c>
      <c r="H40" s="20" t="s">
        <v>101</v>
      </c>
      <c r="I40" s="20" t="s">
        <v>101</v>
      </c>
      <c r="J40" s="20" t="s">
        <v>101</v>
      </c>
      <c r="K40" s="22">
        <v>113</v>
      </c>
      <c r="L40" s="22">
        <f>SUMIFS(Cifras!$H$2:$H$399,Cifras!$B$2:$B$399,B40,Cifras!$C$2:$C$399,C40)</f>
        <v>1017</v>
      </c>
      <c r="M40" s="22">
        <f>SUMIFS(Cifras!$J$2:$J$399,Cifras!$B$2:$B$399,B40,Cifras!$C$2:$C$399,C40)</f>
        <v>0</v>
      </c>
      <c r="N40" s="20" t="s">
        <v>1777</v>
      </c>
    </row>
    <row r="41" spans="1:14" ht="25.5" x14ac:dyDescent="0.25">
      <c r="A41" s="20">
        <v>1970</v>
      </c>
      <c r="B41" s="20" t="s">
        <v>72</v>
      </c>
      <c r="C41" s="20" t="s">
        <v>121</v>
      </c>
      <c r="D41" s="21" t="s">
        <v>1409</v>
      </c>
      <c r="E41" s="20" t="s">
        <v>878</v>
      </c>
      <c r="F41" s="21" t="s">
        <v>1410</v>
      </c>
      <c r="G41" s="21" t="s">
        <v>1655</v>
      </c>
      <c r="H41" s="20" t="s">
        <v>101</v>
      </c>
      <c r="I41" s="20" t="s">
        <v>101</v>
      </c>
      <c r="J41" s="20" t="s">
        <v>101</v>
      </c>
      <c r="K41" s="22">
        <v>104</v>
      </c>
      <c r="L41" s="22">
        <f>SUMIFS(Cifras!$H$2:$H$399,Cifras!$B$2:$B$399,B41,Cifras!$C$2:$C$399,C41)</f>
        <v>936</v>
      </c>
      <c r="M41" s="22">
        <f>SUMIFS(Cifras!$J$2:$J$399,Cifras!$B$2:$B$399,B41,Cifras!$C$2:$C$399,C41)</f>
        <v>0</v>
      </c>
      <c r="N41" s="20" t="s">
        <v>1778</v>
      </c>
    </row>
    <row r="42" spans="1:14" x14ac:dyDescent="0.25">
      <c r="A42" s="20">
        <v>1970</v>
      </c>
      <c r="B42" s="20" t="s">
        <v>72</v>
      </c>
      <c r="C42" s="20" t="s">
        <v>113</v>
      </c>
      <c r="D42" s="21" t="s">
        <v>1413</v>
      </c>
      <c r="E42" s="20" t="s">
        <v>909</v>
      </c>
      <c r="F42" s="21" t="s">
        <v>1410</v>
      </c>
      <c r="G42" s="21" t="s">
        <v>1682</v>
      </c>
      <c r="H42" s="20" t="s">
        <v>100</v>
      </c>
      <c r="I42" s="20" t="s">
        <v>100</v>
      </c>
      <c r="J42" s="20" t="s">
        <v>100</v>
      </c>
      <c r="K42" s="22">
        <v>26</v>
      </c>
      <c r="L42" s="22">
        <f>SUMIFS(Cifras!$H$2:$H$399,Cifras!$B$2:$B$399,B42,Cifras!$C$2:$C$399,C42)</f>
        <v>26</v>
      </c>
      <c r="M42" s="22">
        <f>SUMIFS(Cifras!$J$2:$J$399,Cifras!$B$2:$B$399,B42,Cifras!$C$2:$C$399,C42)</f>
        <v>0</v>
      </c>
      <c r="N42" s="20" t="s">
        <v>1779</v>
      </c>
    </row>
    <row r="43" spans="1:14" ht="25.5" x14ac:dyDescent="0.25">
      <c r="A43" s="20">
        <v>1982</v>
      </c>
      <c r="B43" s="20" t="s">
        <v>138</v>
      </c>
      <c r="C43" s="20" t="s">
        <v>139</v>
      </c>
      <c r="D43" s="21" t="s">
        <v>1476</v>
      </c>
      <c r="E43" s="20" t="s">
        <v>1780</v>
      </c>
      <c r="F43" s="21" t="s">
        <v>1477</v>
      </c>
      <c r="G43" s="21" t="s">
        <v>1781</v>
      </c>
      <c r="H43" s="20" t="s">
        <v>101</v>
      </c>
      <c r="I43" s="20" t="s">
        <v>101</v>
      </c>
      <c r="J43" s="20" t="s">
        <v>100</v>
      </c>
      <c r="K43" s="22">
        <v>1166</v>
      </c>
      <c r="L43" s="22">
        <f>SUMIFS(Cifras!$H$2:$H$399,Cifras!$B$2:$B$399,B43,Cifras!$C$2:$C$399,C43)</f>
        <v>3498</v>
      </c>
      <c r="M43" s="22">
        <f>SUMIFS(Cifras!$J$2:$J$399,Cifras!$B$2:$B$399,B43,Cifras!$C$2:$C$399,C43)</f>
        <v>0</v>
      </c>
      <c r="N43" s="20" t="s">
        <v>1782</v>
      </c>
    </row>
    <row r="44" spans="1:14" ht="38.25" x14ac:dyDescent="0.25">
      <c r="A44" s="20">
        <v>1982</v>
      </c>
      <c r="B44" s="20" t="s">
        <v>138</v>
      </c>
      <c r="C44" s="20" t="s">
        <v>141</v>
      </c>
      <c r="D44" s="21" t="s">
        <v>1479</v>
      </c>
      <c r="E44" s="20" t="s">
        <v>777</v>
      </c>
      <c r="F44" s="21" t="s">
        <v>1477</v>
      </c>
      <c r="G44" s="21" t="s">
        <v>1655</v>
      </c>
      <c r="H44" s="20" t="s">
        <v>101</v>
      </c>
      <c r="I44" s="20" t="s">
        <v>101</v>
      </c>
      <c r="J44" s="20" t="s">
        <v>101</v>
      </c>
      <c r="K44" s="22">
        <v>363</v>
      </c>
      <c r="L44" s="22">
        <f>SUMIFS(Cifras!$H$2:$H$399,Cifras!$B$2:$B$399,B44,Cifras!$C$2:$C$399,C44)</f>
        <v>1089</v>
      </c>
      <c r="M44" s="22">
        <f>SUMIFS(Cifras!$J$2:$J$399,Cifras!$B$2:$B$399,B44,Cifras!$C$2:$C$399,C44)</f>
        <v>0</v>
      </c>
      <c r="N44" s="20" t="s">
        <v>1783</v>
      </c>
    </row>
    <row r="45" spans="1:14" x14ac:dyDescent="0.25">
      <c r="A45" s="16" t="s">
        <v>78</v>
      </c>
      <c r="K45" s="23">
        <f>SUM(K2:K44)</f>
        <v>16160</v>
      </c>
      <c r="L45" s="23">
        <f>SUM(L2:L44)</f>
        <v>67404</v>
      </c>
      <c r="M45" s="23">
        <f>SUM(M2:M44)</f>
        <v>206</v>
      </c>
    </row>
  </sheetData>
  <autoFilter ref="A1:N44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baseColWidth="10" defaultColWidth="9.140625" defaultRowHeight="15" x14ac:dyDescent="0.25"/>
  <cols>
    <col min="1" max="1" width="30" customWidth="1"/>
    <col min="2" max="2" width="110" customWidth="1"/>
  </cols>
  <sheetData>
    <row r="1" spans="1:2" x14ac:dyDescent="0.25">
      <c r="A1" s="24" t="s">
        <v>1784</v>
      </c>
      <c r="B1" s="21"/>
    </row>
    <row r="2" spans="1:2" x14ac:dyDescent="0.25">
      <c r="A2" s="18" t="s">
        <v>1785</v>
      </c>
      <c r="B2" s="21" t="s">
        <v>1786</v>
      </c>
    </row>
    <row r="3" spans="1:2" ht="25.5" x14ac:dyDescent="0.25">
      <c r="A3" s="18" t="s">
        <v>95</v>
      </c>
      <c r="B3" s="21" t="s">
        <v>1787</v>
      </c>
    </row>
    <row r="4" spans="1:2" x14ac:dyDescent="0.25">
      <c r="A4" s="18" t="s">
        <v>4</v>
      </c>
      <c r="B4" s="21" t="s">
        <v>1788</v>
      </c>
    </row>
    <row r="5" spans="1:2" x14ac:dyDescent="0.25">
      <c r="A5" s="18" t="s">
        <v>1789</v>
      </c>
      <c r="B5" s="21" t="s">
        <v>1790</v>
      </c>
    </row>
    <row r="6" spans="1:2" x14ac:dyDescent="0.25">
      <c r="A6" s="16"/>
      <c r="B6" s="21"/>
    </row>
    <row r="7" spans="1:2" x14ac:dyDescent="0.25">
      <c r="A7" s="24" t="s">
        <v>1791</v>
      </c>
      <c r="B7" s="21"/>
    </row>
    <row r="8" spans="1:2" x14ac:dyDescent="0.25">
      <c r="A8" s="18" t="s">
        <v>1792</v>
      </c>
      <c r="B8" s="21" t="s">
        <v>1793</v>
      </c>
    </row>
    <row r="9" spans="1:2" ht="25.5" x14ac:dyDescent="0.25">
      <c r="A9" s="18" t="s">
        <v>1794</v>
      </c>
      <c r="B9" s="21" t="s">
        <v>1795</v>
      </c>
    </row>
    <row r="10" spans="1:2" x14ac:dyDescent="0.25">
      <c r="A10" s="18" t="s">
        <v>13</v>
      </c>
      <c r="B10" s="21" t="s">
        <v>1796</v>
      </c>
    </row>
    <row r="11" spans="1:2" x14ac:dyDescent="0.25">
      <c r="A11" s="18" t="s">
        <v>1797</v>
      </c>
      <c r="B11" s="21" t="s">
        <v>1798</v>
      </c>
    </row>
    <row r="12" spans="1:2" ht="25.5" x14ac:dyDescent="0.25">
      <c r="A12" s="18" t="s">
        <v>1799</v>
      </c>
      <c r="B12" s="21" t="s">
        <v>1800</v>
      </c>
    </row>
    <row r="13" spans="1:2" ht="38.25" x14ac:dyDescent="0.25">
      <c r="A13" s="18" t="s">
        <v>1801</v>
      </c>
      <c r="B13" s="21" t="s">
        <v>1802</v>
      </c>
    </row>
    <row r="14" spans="1:2" ht="25.5" x14ac:dyDescent="0.25">
      <c r="A14" s="18" t="s">
        <v>1803</v>
      </c>
      <c r="B14" s="21" t="s">
        <v>1804</v>
      </c>
    </row>
    <row r="15" spans="1:2" x14ac:dyDescent="0.25">
      <c r="A15" s="16"/>
      <c r="B15" s="21"/>
    </row>
    <row r="16" spans="1:2" x14ac:dyDescent="0.25">
      <c r="A16" s="18" t="s">
        <v>1805</v>
      </c>
      <c r="B16" s="21" t="s">
        <v>1806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</vt:lpstr>
      <vt:lpstr>Cifras</vt:lpstr>
      <vt:lpstr>Catálogo</vt:lpstr>
      <vt:lpstr>Niveles</vt:lpstr>
      <vt:lpstr>Cuadros transcritos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Edgardo Samuel Cerda Espinoza</cp:lastModifiedBy>
  <dcterms:created xsi:type="dcterms:W3CDTF">2026-10-21T17:53:16Z</dcterms:created>
  <dcterms:modified xsi:type="dcterms:W3CDTF">2026-10-21T17:53:32Z</dcterms:modified>
</cp:coreProperties>
</file>